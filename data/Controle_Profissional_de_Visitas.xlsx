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otas" sheetId="2" state="visible" r:id="rId2"/>
    <sheet xmlns:r="http://schemas.openxmlformats.org/officeDocument/2006/relationships" name="Visitas" sheetId="3" state="visible" r:id="rId3"/>
    <sheet xmlns:r="http://schemas.openxmlformats.org/officeDocument/2006/relationships" name="Cadastro Rápido" sheetId="4" state="visible" r:id="rId4"/>
    <sheet xmlns:r="http://schemas.openxmlformats.org/officeDocument/2006/relationships" name="Config" sheetId="5" state="hidden" r:id="rId5"/>
  </sheets>
  <definedNames>
    <definedName name="_xlnm._FilterDatabase" localSheetId="2" hidden="1">'Visitas'!$A$1:$M$500</definedName>
    <definedName name="_xlnm.Print_Titles" localSheetId="2">'Visitas'!$1:$1</definedName>
    <definedName name="_xlnm._FilterDatabase" localSheetId="3" hidden="1">'Cadastro Rápido'!$A$4:$H$104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1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20"/>
    </font>
    <font>
      <i val="1"/>
      <color rgb="00546E7A"/>
    </font>
    <font>
      <b val="1"/>
      <color rgb="00FFFFFF"/>
    </font>
    <font>
      <b val="1"/>
      <color rgb="0017324D"/>
      <sz val="14"/>
    </font>
    <font>
      <b val="1"/>
      <color rgb="00FFFFFF"/>
      <sz val="22"/>
    </font>
    <font>
      <i val="1"/>
      <color rgb="00607D8B"/>
    </font>
    <font>
      <b val="1"/>
      <color rgb="00263238"/>
      <sz val="24"/>
    </font>
    <font>
      <b val="1"/>
      <color rgb="0017324D"/>
      <sz val="12"/>
    </font>
    <font>
      <b val="1"/>
      <color rgb="002E7D32"/>
      <sz val="24"/>
    </font>
    <font>
      <b val="1"/>
      <color rgb="000563C1"/>
      <u val="single"/>
    </font>
    <font>
      <b val="1"/>
      <color rgb="0017324D"/>
    </font>
    <font>
      <b val="1"/>
      <color rgb="00263238"/>
    </font>
    <font>
      <b val="1"/>
    </font>
    <font>
      <b val="1"/>
      <color rgb="00FFFFFF"/>
      <sz val="12"/>
    </font>
    <font>
      <b val="1"/>
      <color rgb="00FFFFFF"/>
      <sz val="13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BFCFD"/>
      </patternFill>
    </fill>
    <fill>
      <patternFill patternType="solid">
        <fgColor rgb="00E8F3F8"/>
      </patternFill>
    </fill>
    <fill>
      <patternFill patternType="solid">
        <fgColor rgb="00EDE7F6"/>
      </patternFill>
    </fill>
    <fill>
      <patternFill patternType="solid">
        <fgColor rgb="002F6B9A"/>
      </patternFill>
    </fill>
    <fill>
      <patternFill patternType="solid">
        <fgColor rgb="002E7D32"/>
      </patternFill>
    </fill>
    <fill>
      <patternFill patternType="solid">
        <fgColor rgb="0078909C"/>
      </patternFill>
    </fill>
    <fill>
      <patternFill patternType="solid">
        <fgColor rgb="00B8860B"/>
      </patternFill>
    </fill>
    <fill>
      <patternFill patternType="solid">
        <fgColor rgb="00D2691E"/>
      </patternFill>
    </fill>
    <fill>
      <patternFill patternType="solid">
        <fgColor rgb="00B71C1C"/>
      </patternFill>
    </fill>
    <fill>
      <patternFill patternType="solid">
        <fgColor rgb="00F8FAFB"/>
      </patternFill>
    </fill>
  </fills>
  <borders count="3">
    <border>
      <left/>
      <right/>
      <top/>
      <bottom/>
      <diagonal/>
    </border>
    <border>
      <bottom style="hair">
        <color rgb="00D9DEE3"/>
      </bottom>
    </border>
    <border>
      <bottom style="thin">
        <color rgb="00D9DEE3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164" fontId="10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4" fillId="6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164" fontId="10" fillId="0" borderId="0" applyAlignment="1" pivotButton="0" quotePrefix="0" xfId="0">
      <alignment vertical="center" wrapText="1"/>
    </xf>
    <xf numFmtId="165" fontId="0" fillId="3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center" vertical="center"/>
    </xf>
    <xf numFmtId="165" fontId="0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4" fillId="6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14" fillId="0" borderId="0" pivotButton="0" quotePrefix="0" xfId="0"/>
    <xf numFmtId="0" fontId="15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4" fillId="6" borderId="0" applyAlignment="1" pivotButton="0" quotePrefix="0" xfId="0">
      <alignment horizontal="center" vertical="center"/>
    </xf>
    <xf numFmtId="0" fontId="11" fillId="0" borderId="0" pivotButton="0" quotePrefix="0" xfId="0"/>
    <xf numFmtId="0" fontId="9" fillId="0" borderId="0" pivotButton="0" quotePrefix="0" xfId="0"/>
    <xf numFmtId="0" fontId="16" fillId="2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11" fillId="0" borderId="2" applyAlignment="1" pivotButton="0" quotePrefix="0" xfId="0">
      <alignment vertical="center" wrapText="1"/>
    </xf>
    <xf numFmtId="0" fontId="12" fillId="0" borderId="0" applyAlignment="1" pivotButton="0" quotePrefix="0" xfId="0">
      <alignment wrapText="1"/>
    </xf>
  </cellXfs>
  <cellStyles count="1">
    <cellStyle name="Normal" xfId="0" builtinId="0" hidden="0"/>
  </cellStyles>
  <dxfs count="7">
    <dxf>
      <font>
        <b val="1"/>
        <color rgb="00263238"/>
      </font>
      <fill>
        <patternFill patternType="solid">
          <fgColor rgb="00DFF3E4"/>
        </patternFill>
      </fill>
    </dxf>
    <dxf>
      <font>
        <b val="1"/>
        <color rgb="00263238"/>
      </font>
      <fill>
        <patternFill patternType="solid">
          <fgColor rgb="00FFF3CD"/>
        </patternFill>
      </fill>
    </dxf>
    <dxf>
      <font>
        <b val="1"/>
        <color rgb="00263238"/>
      </font>
      <fill>
        <patternFill patternType="solid">
          <fgColor rgb="00F8D7DA"/>
        </patternFill>
      </fill>
    </dxf>
    <dxf>
      <font>
        <b val="1"/>
        <color rgb="00263238"/>
      </font>
      <fill>
        <patternFill patternType="solid">
          <fgColor rgb="00FCE4D6"/>
        </patternFill>
      </fill>
    </dxf>
    <dxf>
      <font>
        <b val="1"/>
        <color rgb="00263238"/>
      </font>
      <fill>
        <patternFill patternType="solid">
          <fgColor rgb="00ECEFF1"/>
        </patternFill>
      </fill>
    </dxf>
    <dxf>
      <fill>
        <patternFill patternType="solid">
          <fgColor rgb="00E8F3F8"/>
        </patternFill>
      </fill>
    </dxf>
    <dxf>
      <fill>
        <patternFill patternType="solid">
          <fgColor rgb="00EDE7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Visitas por status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'Dashboard'!$F$9:$F$13</f>
            </numRef>
          </cat>
          <val>
            <numRef>
              <f>'Dashboard'!$G$9:$G$13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Visitas por rede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'Dashboard'!$C$10:$C$11</f>
            </numRef>
          </cat>
          <val>
            <numRef>
              <f>'Dashboard'!$D$10:$D$11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Visitas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Visitas por região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'Dashboard'!$I$9:$I$13</f>
            </numRef>
          </cat>
          <val>
            <numRef>
              <f>'Dashboard'!$J$9:$J$13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Visitas por semana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'Dashboard'!D14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'Dashboard'!$C$15:$C$19</f>
            </numRef>
          </cat>
          <val>
            <numRef>
              <f>'Dashboard'!$D$15:$D$19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Visitas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Visitas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'Dashboard'!$I$15:$I$26</f>
            </numRef>
          </cat>
          <val>
            <numRef>
              <f>'Dashboard'!$J$15:$J$26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20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35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35</row>
      <rowOff>0</rowOff>
    </from>
    <ext cx="54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Visitas" displayName="TabelaVisitas" ref="A1:M500" headerRowCount="1">
  <autoFilter ref="A1:M500"/>
  <tableColumns count="13">
    <tableColumn id="1" name="Mês"/>
    <tableColumn id="2" name="Semana"/>
    <tableColumn id="3" name="Data"/>
    <tableColumn id="4" name="Dia da semana"/>
    <tableColumn id="5" name="Região"/>
    <tableColumn id="6" name="Rede"/>
    <tableColumn id="7" name="Código"/>
    <tableColumn id="8" name="Unidade / Loja"/>
    <tableColumn id="9" name="Endereço"/>
    <tableColumn id="10" name="Bairro"/>
    <tableColumn id="11" name="Status"/>
    <tableColumn id="12" name="Observações"/>
    <tableColumn id="13" name="Google Ma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22" customWidth="1" min="3" max="3"/>
    <col width="12" customWidth="1" min="4" max="4"/>
    <col width="5" customWidth="1" min="5" max="5"/>
    <col width="18" customWidth="1" min="6" max="6"/>
    <col width="12" customWidth="1" min="7" max="7"/>
    <col width="5" customWidth="1" min="8" max="8"/>
    <col width="24" customWidth="1" min="9" max="9"/>
    <col width="12" customWidth="1" min="10" max="10"/>
    <col width="5" customWidth="1" min="11" max="11"/>
    <col width="12" customWidth="1" min="12" max="12"/>
  </cols>
  <sheetData>
    <row r="1">
      <c r="A1" s="1" t="inlineStr">
        <is>
          <t>DASHBOARD • CONTROLE DE VISITAS</t>
        </is>
      </c>
    </row>
    <row r="2">
      <c r="A2" s="2" t="inlineStr">
        <is>
          <t>Planejamento iniciado em 07/10/2026 • Semana 1: quarta a sexta • Semana 2: segunda e terça.</t>
        </is>
      </c>
    </row>
    <row r="4" ht="25" customHeight="1">
      <c r="A4" s="3" t="inlineStr">
        <is>
          <t>Total de visitas</t>
        </is>
      </c>
      <c r="C4" s="4" t="inlineStr">
        <is>
          <t>Concluído</t>
        </is>
      </c>
      <c r="E4" s="5" t="inlineStr">
        <is>
          <t>Pendente</t>
        </is>
      </c>
      <c r="G4" s="6" t="inlineStr">
        <is>
          <t>Em andamento</t>
        </is>
      </c>
      <c r="I4" s="7" t="inlineStr">
        <is>
          <t>Reagendado</t>
        </is>
      </c>
      <c r="K4" s="8" t="inlineStr">
        <is>
          <t>Não realizado</t>
        </is>
      </c>
    </row>
    <row r="5" ht="28" customHeight="1">
      <c r="A5" s="9">
        <f>COUNTIF(Visitas!K2:K501,"&lt;&gt;")</f>
        <v/>
      </c>
      <c r="C5" s="9">
        <f>COUNTIF(Visitas!K2:K501,"Concluído")</f>
        <v/>
      </c>
      <c r="E5" s="9">
        <f>COUNTIF(Visitas!K2:K501,"Pendente")</f>
        <v/>
      </c>
      <c r="G5" s="9">
        <f>COUNTIF(Visitas!K2:K501,"Em andamento")</f>
        <v/>
      </c>
      <c r="I5" s="9">
        <f>COUNTIF(Visitas!K2:K501,"Reagendado")</f>
        <v/>
      </c>
      <c r="K5" s="9">
        <f>COUNTIF(Visitas!K2:K501,"Não realizado")</f>
        <v/>
      </c>
    </row>
    <row r="6" ht="20" customHeight="1"/>
    <row r="8">
      <c r="A8" s="10" t="inlineStr">
        <is>
          <t>Percentual de conclusão</t>
        </is>
      </c>
      <c r="B8" s="11" t="n"/>
      <c r="C8" s="10" t="inlineStr">
        <is>
          <t>Visitas por rede</t>
        </is>
      </c>
      <c r="D8" s="11" t="n"/>
      <c r="E8" s="11" t="n"/>
      <c r="F8" s="12" t="inlineStr">
        <is>
          <t>Status</t>
        </is>
      </c>
      <c r="G8" s="12" t="inlineStr">
        <is>
          <t>Total</t>
        </is>
      </c>
      <c r="H8" s="11" t="n"/>
      <c r="I8" s="12" t="inlineStr">
        <is>
          <t>Região</t>
        </is>
      </c>
      <c r="J8" s="12" t="inlineStr">
        <is>
          <t>Total</t>
        </is>
      </c>
      <c r="K8" s="11" t="n"/>
      <c r="L8" s="11" t="n"/>
    </row>
    <row r="9">
      <c r="A9" s="33">
        <f>IFERROR(COUNTIF(Visitas!K2:K501,"Concluído")/COUNTIF(Visitas!K2:K501,"&lt;&gt;"),0)</f>
        <v/>
      </c>
      <c r="B9" s="11" t="n"/>
      <c r="C9" s="12" t="inlineStr">
        <is>
          <t>Rede</t>
        </is>
      </c>
      <c r="D9" s="12" t="inlineStr">
        <is>
          <t>Total</t>
        </is>
      </c>
      <c r="E9" s="11" t="n"/>
      <c r="F9" s="14" t="inlineStr">
        <is>
          <t>Pendente</t>
        </is>
      </c>
      <c r="G9" s="14">
        <f>COUNTIF(Visitas!K2:K501,F9)</f>
        <v/>
      </c>
      <c r="H9" s="11" t="n"/>
      <c r="I9" s="14" t="inlineStr">
        <is>
          <t>Zona Norte</t>
        </is>
      </c>
      <c r="J9" s="14">
        <f>COUNTIF(Visitas!E2:E501,I9)</f>
        <v/>
      </c>
      <c r="K9" s="11" t="n"/>
      <c r="L9" s="11" t="n"/>
    </row>
    <row r="10">
      <c r="A10" s="11" t="n"/>
      <c r="B10" s="11" t="n"/>
      <c r="C10" s="14" t="inlineStr">
        <is>
          <t>Drogaria Venancio</t>
        </is>
      </c>
      <c r="D10" s="14">
        <f>COUNTIF(Visitas!F2:F501,"Drogaria Venancio")</f>
        <v/>
      </c>
      <c r="E10" s="11" t="n"/>
      <c r="F10" s="14" t="inlineStr">
        <is>
          <t>Em andamento</t>
        </is>
      </c>
      <c r="G10" s="14">
        <f>COUNTIF(Visitas!K2:K501,F10)</f>
        <v/>
      </c>
      <c r="H10" s="11" t="n"/>
      <c r="I10" s="14" t="inlineStr">
        <is>
          <t>Zona Sul</t>
        </is>
      </c>
      <c r="J10" s="14">
        <f>COUNTIF(Visitas!E2:E501,I10)</f>
        <v/>
      </c>
      <c r="K10" s="11" t="n"/>
      <c r="L10" s="11" t="n"/>
    </row>
    <row r="11">
      <c r="A11" s="11" t="n"/>
      <c r="B11" s="11" t="n"/>
      <c r="C11" s="14" t="inlineStr">
        <is>
          <t>Cristal</t>
        </is>
      </c>
      <c r="D11" s="14">
        <f>COUNTIF(Visitas!F2:F501,"Cristal")</f>
        <v/>
      </c>
      <c r="E11" s="11" t="n"/>
      <c r="F11" s="14" t="inlineStr">
        <is>
          <t>Concluído</t>
        </is>
      </c>
      <c r="G11" s="14">
        <f>COUNTIF(Visitas!K2:K501,F11)</f>
        <v/>
      </c>
      <c r="H11" s="11" t="n"/>
      <c r="I11" s="14" t="inlineStr">
        <is>
          <t>Centro / Zona Sul</t>
        </is>
      </c>
      <c r="J11" s="14">
        <f>COUNTIF(Visitas!E2:E501,I11)</f>
        <v/>
      </c>
      <c r="K11" s="11" t="n"/>
      <c r="L11" s="11" t="n"/>
    </row>
    <row r="12">
      <c r="A12" s="11" t="n"/>
      <c r="B12" s="11" t="n"/>
      <c r="C12" s="11" t="n"/>
      <c r="D12" s="11" t="n"/>
      <c r="E12" s="11" t="n"/>
      <c r="F12" s="14" t="inlineStr">
        <is>
          <t>Não realizado</t>
        </is>
      </c>
      <c r="G12" s="14">
        <f>COUNTIF(Visitas!K2:K501,F12)</f>
        <v/>
      </c>
      <c r="H12" s="11" t="n"/>
      <c r="I12" s="14" t="inlineStr">
        <is>
          <t>Centro</t>
        </is>
      </c>
      <c r="J12" s="14">
        <f>COUNTIF(Visitas!E2:E501,I12)</f>
        <v/>
      </c>
      <c r="K12" s="11" t="n"/>
      <c r="L12" s="11" t="n"/>
    </row>
    <row r="13">
      <c r="A13" s="11" t="n"/>
      <c r="B13" s="11" t="n"/>
      <c r="C13" s="11" t="n"/>
      <c r="D13" s="11" t="n"/>
      <c r="E13" s="11" t="n"/>
      <c r="F13" s="14" t="inlineStr">
        <is>
          <t>Reagendado</t>
        </is>
      </c>
      <c r="G13" s="14">
        <f>COUNTIF(Visitas!K2:K501,F13)</f>
        <v/>
      </c>
      <c r="H13" s="11" t="n"/>
      <c r="I13" s="14" t="inlineStr">
        <is>
          <t>Oeste</t>
        </is>
      </c>
      <c r="J13" s="14">
        <f>COUNTIF(Visitas!E2:E501,I13)</f>
        <v/>
      </c>
      <c r="K13" s="11" t="n"/>
      <c r="L13" s="11" t="n"/>
    </row>
    <row r="14">
      <c r="A14" s="11" t="n"/>
      <c r="B14" s="11" t="n"/>
      <c r="C14" s="12" t="inlineStr">
        <is>
          <t>Semana</t>
        </is>
      </c>
      <c r="D14" s="12" t="inlineStr">
        <is>
          <t>Total</t>
        </is>
      </c>
      <c r="E14" s="11" t="n"/>
      <c r="F14" s="11" t="n"/>
      <c r="G14" s="11" t="n"/>
      <c r="H14" s="11" t="n"/>
      <c r="I14" s="12" t="inlineStr">
        <is>
          <t>Mês</t>
        </is>
      </c>
      <c r="J14" s="12" t="inlineStr">
        <is>
          <t>Total</t>
        </is>
      </c>
      <c r="K14" s="11" t="n"/>
      <c r="L14" s="11" t="n"/>
    </row>
    <row r="15">
      <c r="A15" s="11" t="n"/>
      <c r="B15" s="11" t="n"/>
      <c r="C15" s="14" t="inlineStr">
        <is>
          <t>Semana 1</t>
        </is>
      </c>
      <c r="D15" s="14">
        <f>COUNTIF(Visitas!B2:B501,C15)</f>
        <v/>
      </c>
      <c r="E15" s="11" t="n"/>
      <c r="F15" s="11" t="n"/>
      <c r="G15" s="11" t="n"/>
      <c r="H15" s="11" t="n"/>
      <c r="I15" s="14" t="inlineStr">
        <is>
          <t>janeiro</t>
        </is>
      </c>
      <c r="J15" s="14">
        <f>COUNTIF(Visitas!A2:A501,I15)</f>
        <v/>
      </c>
      <c r="K15" s="11" t="n"/>
      <c r="L15" s="11" t="n"/>
    </row>
    <row r="16">
      <c r="A16" s="11" t="n"/>
      <c r="B16" s="11" t="n"/>
      <c r="C16" s="14" t="inlineStr">
        <is>
          <t>Semana 2</t>
        </is>
      </c>
      <c r="D16" s="14">
        <f>COUNTIF(Visitas!B2:B501,C16)</f>
        <v/>
      </c>
      <c r="E16" s="11" t="n"/>
      <c r="F16" s="11" t="n"/>
      <c r="G16" s="11" t="n"/>
      <c r="H16" s="11" t="n"/>
      <c r="I16" s="14" t="inlineStr">
        <is>
          <t>fevereiro</t>
        </is>
      </c>
      <c r="J16" s="14">
        <f>COUNTIF(Visitas!A2:A501,I16)</f>
        <v/>
      </c>
      <c r="K16" s="11" t="n"/>
      <c r="L16" s="11" t="n"/>
    </row>
    <row r="17">
      <c r="A17" s="11" t="n"/>
      <c r="B17" s="11" t="n"/>
      <c r="C17" s="14" t="inlineStr">
        <is>
          <t>Semana 3</t>
        </is>
      </c>
      <c r="D17" s="14">
        <f>COUNTIF(Visitas!B2:B501,C17)</f>
        <v/>
      </c>
      <c r="E17" s="11" t="n"/>
      <c r="F17" s="11" t="n"/>
      <c r="G17" s="11" t="n"/>
      <c r="H17" s="11" t="n"/>
      <c r="I17" s="14" t="inlineStr">
        <is>
          <t>março</t>
        </is>
      </c>
      <c r="J17" s="14">
        <f>COUNTIF(Visitas!A2:A501,I17)</f>
        <v/>
      </c>
      <c r="K17" s="11" t="n"/>
      <c r="L17" s="11" t="n"/>
    </row>
    <row r="18">
      <c r="A18" s="11" t="n"/>
      <c r="B18" s="11" t="n"/>
      <c r="C18" s="14" t="inlineStr">
        <is>
          <t>Semana 4</t>
        </is>
      </c>
      <c r="D18" s="14">
        <f>COUNTIF(Visitas!B2:B501,C18)</f>
        <v/>
      </c>
      <c r="E18" s="11" t="n"/>
      <c r="F18" s="11" t="n"/>
      <c r="G18" s="11" t="n"/>
      <c r="H18" s="11" t="n"/>
      <c r="I18" s="14" t="inlineStr">
        <is>
          <t>abril</t>
        </is>
      </c>
      <c r="J18" s="14">
        <f>COUNTIF(Visitas!A2:A501,I18)</f>
        <v/>
      </c>
      <c r="K18" s="11" t="n"/>
      <c r="L18" s="11" t="n"/>
    </row>
    <row r="19">
      <c r="A19" s="11" t="n"/>
      <c r="B19" s="11" t="n"/>
      <c r="C19" s="14" t="inlineStr">
        <is>
          <t>Semana 5</t>
        </is>
      </c>
      <c r="D19" s="14">
        <f>COUNTIF(Visitas!B2:B501,C19)</f>
        <v/>
      </c>
      <c r="E19" s="11" t="n"/>
      <c r="F19" s="11" t="n"/>
      <c r="G19" s="11" t="n"/>
      <c r="H19" s="11" t="n"/>
      <c r="I19" s="14" t="inlineStr">
        <is>
          <t>maio</t>
        </is>
      </c>
      <c r="J19" s="14">
        <f>COUNTIF(Visitas!A2:A501,I19)</f>
        <v/>
      </c>
      <c r="K19" s="11" t="n"/>
      <c r="L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4" t="inlineStr">
        <is>
          <t>junho</t>
        </is>
      </c>
      <c r="J20" s="14">
        <f>COUNTIF(Visitas!A2:A501,I20)</f>
        <v/>
      </c>
      <c r="K20" s="11" t="n"/>
      <c r="L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4" t="inlineStr">
        <is>
          <t>julho</t>
        </is>
      </c>
      <c r="J21" s="14">
        <f>COUNTIF(Visitas!A2:A501,I21)</f>
        <v/>
      </c>
      <c r="K21" s="11" t="n"/>
      <c r="L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4" t="inlineStr">
        <is>
          <t>agosto</t>
        </is>
      </c>
      <c r="J22" s="14">
        <f>COUNTIF(Visitas!A2:A501,I22)</f>
        <v/>
      </c>
      <c r="K22" s="11" t="n"/>
      <c r="L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4" t="inlineStr">
        <is>
          <t>setembro</t>
        </is>
      </c>
      <c r="J23" s="14">
        <f>COUNTIF(Visitas!A2:A501,I23)</f>
        <v/>
      </c>
      <c r="K23" s="11" t="n"/>
      <c r="L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4" t="inlineStr">
        <is>
          <t>outubro</t>
        </is>
      </c>
      <c r="J24" s="14">
        <f>COUNTIF(Visitas!A2:A501,I24)</f>
        <v/>
      </c>
      <c r="K24" s="11" t="n"/>
      <c r="L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4" t="inlineStr">
        <is>
          <t>novembro</t>
        </is>
      </c>
      <c r="J25" s="14">
        <f>COUNTIF(Visitas!A2:A501,I25)</f>
        <v/>
      </c>
      <c r="K25" s="11" t="n"/>
      <c r="L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4" t="inlineStr">
        <is>
          <t>dezembro</t>
        </is>
      </c>
      <c r="J26" s="14">
        <f>COUNTIF(Visitas!A2:A501,I26)</f>
        <v/>
      </c>
      <c r="K26" s="11" t="n"/>
      <c r="L26" s="11" t="n"/>
    </row>
  </sheetData>
  <mergeCells count="14">
    <mergeCell ref="A4:B4"/>
    <mergeCell ref="G4:H4"/>
    <mergeCell ref="A2:L2"/>
    <mergeCell ref="E4:F4"/>
    <mergeCell ref="I4:J4"/>
    <mergeCell ref="A1:L1"/>
    <mergeCell ref="C5:D6"/>
    <mergeCell ref="A5:B6"/>
    <mergeCell ref="G5:H6"/>
    <mergeCell ref="E5:F6"/>
    <mergeCell ref="K5:L6"/>
    <mergeCell ref="I5:J6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0" customWidth="1" min="4" max="4"/>
    <col width="9" customWidth="1" min="5" max="5"/>
    <col width="13" customWidth="1" min="6" max="6"/>
    <col width="22" customWidth="1" min="7" max="7"/>
    <col width="30" customWidth="1" min="8" max="8"/>
    <col width="52" customWidth="1" min="9" max="9"/>
    <col width="24" customWidth="1" min="10" max="10"/>
    <col width="18" customWidth="1" min="12" max="12"/>
    <col width="10" customWidth="1" min="13" max="13"/>
    <col width="25" customWidth="1" min="14" max="14"/>
  </cols>
  <sheetData>
    <row r="1" ht="32" customHeight="1">
      <c r="A1" s="40" t="inlineStr">
        <is>
          <t>ROTAS DIÁRIAS • CONTROLE OPERACIONAL</t>
        </is>
      </c>
      <c r="L1" s="53" t="inlineStr">
        <is>
          <t>ROTA COMPLETA DO DIA</t>
        </is>
      </c>
    </row>
    <row r="2" ht="30" customHeight="1">
      <c r="A2" s="42" t="inlineStr">
        <is>
          <t>Base de saída e retorno</t>
        </is>
      </c>
      <c r="B2" s="47" t="inlineStr">
        <is>
          <t>Rua Barão de Petrópolis, 572 — Rio Comprido, Rio de Janeiro — RJ</t>
        </is>
      </c>
      <c r="L2" s="42" t="inlineStr">
        <is>
          <t>O que o botão faz</t>
        </is>
      </c>
      <c r="M2" s="54" t="inlineStr">
        <is>
          <t>Barão de Petrópolis, 572 → todas as lojas do dia → Barão de Petrópolis, 572.</t>
        </is>
      </c>
    </row>
    <row r="3" ht="30" customHeight="1">
      <c r="A3" s="42" t="inlineStr">
        <is>
          <t>Critério</t>
        </is>
      </c>
      <c r="B3" s="32" t="inlineStr">
        <is>
          <t>Ordem operacional por proximidade/região para reduzir zigue-zague. O Google Maps recalcula trânsito e percurso no momento da navegação.</t>
        </is>
      </c>
      <c r="L3" s="42" t="inlineStr">
        <is>
          <t>Transporte</t>
        </is>
      </c>
      <c r="M3" s="32" t="inlineStr">
        <is>
          <t>O link abre o Google Maps em transporte público. O Maps calcula ônibus + metrô/trem + caminhada.</t>
        </is>
      </c>
    </row>
    <row r="4"/>
    <row r="5">
      <c r="A5" s="45" t="inlineStr">
        <is>
          <t>Dia</t>
        </is>
      </c>
      <c r="B5" s="45" t="inlineStr">
        <is>
          <t>Data</t>
        </is>
      </c>
      <c r="C5" s="45" t="inlineStr">
        <is>
          <t>Região</t>
        </is>
      </c>
      <c r="D5" s="45" t="inlineStr">
        <is>
          <t>Lojas</t>
        </is>
      </c>
      <c r="E5" s="45" t="inlineStr">
        <is>
          <t>Ordem</t>
        </is>
      </c>
      <c r="F5" s="45" t="inlineStr">
        <is>
          <t>Código</t>
        </is>
      </c>
      <c r="G5" s="45" t="inlineStr">
        <is>
          <t>Rede</t>
        </is>
      </c>
      <c r="H5" s="45" t="inlineStr">
        <is>
          <t>Unidade / Loja</t>
        </is>
      </c>
      <c r="I5" s="45" t="inlineStr">
        <is>
          <t>Endereço</t>
        </is>
      </c>
      <c r="J5" s="45" t="inlineStr">
        <is>
          <t>Navegação</t>
        </is>
      </c>
      <c r="L5" s="45" t="inlineStr">
        <is>
          <t>Dia</t>
        </is>
      </c>
      <c r="M5" s="45" t="inlineStr">
        <is>
          <t>Lojas</t>
        </is>
      </c>
      <c r="N5" s="45" t="inlineStr">
        <is>
          <t>Sequência</t>
        </is>
      </c>
      <c r="O5" s="45" t="inlineStr">
        <is>
          <t>ABRIR ROTA COMPLETA</t>
        </is>
      </c>
    </row>
    <row r="6">
      <c r="A6" s="20" t="inlineStr">
        <is>
          <t>Quarta-feira</t>
        </is>
      </c>
      <c r="B6" s="20" t="inlineStr">
        <is>
          <t>07/10/2026</t>
        </is>
      </c>
      <c r="C6" s="20" t="inlineStr">
        <is>
          <t>Zona Sul</t>
        </is>
      </c>
      <c r="D6" s="20" t="n">
        <v>8</v>
      </c>
      <c r="E6" s="20" t="n">
        <v>1</v>
      </c>
      <c r="F6" s="20" t="inlineStr"/>
      <c r="G6" s="23" t="inlineStr">
        <is>
          <t>Cristal</t>
        </is>
      </c>
      <c r="H6" s="20" t="inlineStr">
        <is>
          <t>G5 Drogarias Arco Verde</t>
        </is>
      </c>
      <c r="I6" s="20" t="inlineStr">
        <is>
          <t>Rua Barata Ribeiro, 147, loja B — Copacabana, Rio de Janeiro</t>
        </is>
      </c>
      <c r="J6" s="20">
        <f>HYPERLINK("https://www.google.com/maps/dir/?api=1&amp;origin=Rua+Bar%C3%A3o+de+Petr%C3%B3polis%2C+572%2C+Rio+Comprido%2C+Rio+de+Janeiro%2C+RJ&amp;destination=Rua+Barata+Ribeiro%2C+147%2C+loja+B%2C+Copacabana%2C+Rio+de+Janeiro%2C+RJ&amp;travelmode=transit","🚌🚇 Abrir trajeto")</f>
        <v/>
      </c>
      <c r="L6" s="14" t="inlineStr">
        <is>
          <t>Quarta-feira</t>
        </is>
      </c>
      <c r="M6" s="14" t="n">
        <v>8</v>
      </c>
      <c r="N6" s="14" t="inlineStr">
        <is>
          <t>Base → 8 lojas → Base</t>
        </is>
      </c>
      <c r="O6" s="55">
        <f>HYPERLINK("https://www.google.com/maps/dir/?api=1&amp;origin=Rua+Bar%C3%A3o+de+Petr%C3%B3polis%2C+572%2C+Rio+Comprido%2C+Rio+de+Janeiro%2C+RJ&amp;destination=Rua+Bar%C3%A3o+de+Petr%C3%B3polis%2C+572%2C+Rio+Comprido%2C+Rio+de+Janeiro%2C+RJ&amp;waypoints=Rua+Barata+Ribeiro%2C+147%2C+loja+B%2C+Copacabana%2C+Rio+de+Janeiro|Rua+Barata+Ribeiro%2C+450%2C+loja+D%2C+Copacabana%2C+Rio+de+Janeiro|Av.+Nossa+Sra.+de+Copacabana%2C+872%2C+Copacabana%2C+Rio+de+Janeiro|Av.+Nossa+Sra.+de+Copacabana%2C+791-793%2C+loja+A%2C+Copacabana%2C+Rio+de+Janeiro|Rua+Siqueira+Campos%2C+107%2C+Copacabana%2C+Rio+de+Janeiro|Av.+Nossa+Sra.+de+Copacabana%2C+619%2C+Copacabana%2C+Rio+de+Janeiro|Av.+Nossa+Sra.+de+Copacabana%2C+1048%2C+loja+A%2C+Copacabana%2C+Rio+de+Janeiro|Av.+Nossa+Sra.+de+Copacabana%2C+1063%2C+loja+C%2C+Copacabana%2C+Rio+de+Janeiro&amp;travelmode=transit","🚌🚇 ABRIR ROTA COMPLETA")</f>
        <v/>
      </c>
    </row>
    <row r="7">
      <c r="A7" s="20" t="inlineStr">
        <is>
          <t>Quarta-feira</t>
        </is>
      </c>
      <c r="B7" s="20" t="inlineStr">
        <is>
          <t>07/10/2026</t>
        </is>
      </c>
      <c r="C7" s="20" t="inlineStr">
        <is>
          <t>Zona Sul</t>
        </is>
      </c>
      <c r="D7" s="20" t="n">
        <v>8</v>
      </c>
      <c r="E7" s="20" t="n">
        <v>2</v>
      </c>
      <c r="F7" s="20" t="inlineStr"/>
      <c r="G7" s="23" t="inlineStr">
        <is>
          <t>Cristal</t>
        </is>
      </c>
      <c r="H7" s="20" t="inlineStr">
        <is>
          <t>Drogaria Malibu</t>
        </is>
      </c>
      <c r="I7" s="20" t="inlineStr">
        <is>
          <t>Rua Barata Ribeiro, 450, loja D — Copacabana, Rio de Janeiro</t>
        </is>
      </c>
      <c r="J7" s="20">
        <f>HYPERLINK("https://www.google.com/maps/dir/?api=1&amp;origin=Rua+Barata+Ribeiro%2C+147%2C+loja+B%2C+Copacabana%2C+Rio+de+Janeiro%2C+RJ&amp;destination=Rua+Barata+Ribeiro%2C+450%2C+loja+D%2C+Copacabana%2C+Rio+de+Janeiro%2C+RJ&amp;travelmode=transit","🚌🚇 Abrir trajeto")</f>
        <v/>
      </c>
      <c r="L7" s="14" t="inlineStr">
        <is>
          <t>Quinta-feira</t>
        </is>
      </c>
      <c r="M7" s="14" t="n">
        <v>10</v>
      </c>
      <c r="N7" s="14" t="inlineStr">
        <is>
          <t>Base → 10 lojas → Base</t>
        </is>
      </c>
      <c r="O7" s="55">
        <f>HYPERLINK("https://www.google.com/maps/dir/?api=1&amp;origin=Rua+Bar%C3%A3o+de+Petr%C3%B3polis%2C+572%2C+Rio+Comprido%2C+Rio+de+Janeiro%2C+RJ&amp;destination=Rua+Bar%C3%A3o+de+Petr%C3%B3polis%2C+572%2C+Rio+Comprido%2C+Rio+de+Janeiro%2C+RJ&amp;waypoints=Rua+Gomes+Carneiro%2C+144%2C+loja+A%2C+Ipanema%2C+Rio+de+Janeiro|Rua+Visconde+de+Piraj%C3%A1%2C+477%2C+Ipanema%2C+Rio+de+Janeiro|Rua+Visconde+de+Piraj%C3%A1%2C+174%2C+Ipanema%2C+Rio+de+Janeiro|Rua+Visconde+de+Piraj%C3%A1%2C+525%2C+loja+B%2C+Ipanema%2C+Rio+de+Janeiro|Av.+Ataulfo+de+Paiva%2C+80%2C+Leblon%2C+Rio+de+Janeiro|Rua+Jos%C3%A9+Linhares%2C+244%2C+Leblon%2C+Rio+de+Janeiro|Rua+Mario+Ribeiro%2C+231%2C+Leblon%2C+Rio+de+Janeiro|Rua+Marques+de+S%C3%A3o+Vicente%2C+39%2C+loja+A%2C+G%C3%A1vea%2C+Rio+de+Janeiro|Rua+Jardim+Bot%C3%A2nico%2C+657%2C+Jardim+Bot%C3%A2nico%2C+Rio+de+Janeiro|Rua+Jardim+Bot%C3%A2nico%2C+726%2C+Jardim+Bot%C3%A2nico%2C+Rio+de+Janeiro&amp;travelmode=transit","🚌🚇 ABRIR ROTA COMPLETA")</f>
        <v/>
      </c>
    </row>
    <row r="8">
      <c r="A8" s="20" t="inlineStr">
        <is>
          <t>Quarta-feira</t>
        </is>
      </c>
      <c r="B8" s="20" t="inlineStr">
        <is>
          <t>07/10/2026</t>
        </is>
      </c>
      <c r="C8" s="20" t="inlineStr">
        <is>
          <t>Zona Sul</t>
        </is>
      </c>
      <c r="D8" s="20" t="n">
        <v>8</v>
      </c>
      <c r="E8" s="20" t="n">
        <v>3</v>
      </c>
      <c r="F8" s="20" t="inlineStr">
        <is>
          <t>V47</t>
        </is>
      </c>
      <c r="G8" s="18" t="inlineStr">
        <is>
          <t>Drogaria Venancio</t>
        </is>
      </c>
      <c r="H8" s="20" t="inlineStr"/>
      <c r="I8" s="20" t="inlineStr">
        <is>
          <t>Av. Nossa Sra. de Copacabana, 872 — Copacabana, Rio de Janeiro</t>
        </is>
      </c>
      <c r="J8" s="20">
        <f>HYPERLINK("https://www.google.com/maps/dir/?api=1&amp;origin=Rua+Barata+Ribeiro%2C+450%2C+loja+D%2C+Copacabana%2C+Rio+de+Janeiro%2C+RJ&amp;destination=Av.+Nossa+Sra.+de+Copacabana%2C+872%2C+Copacabana%2C+Rio+de+Janeiro%2C+RJ&amp;travelmode=transit","🚌🚇 Abrir trajeto")</f>
        <v/>
      </c>
      <c r="L8" s="14" t="inlineStr">
        <is>
          <t>Sexta-feira</t>
        </is>
      </c>
      <c r="M8" s="14" t="n">
        <v>8</v>
      </c>
      <c r="N8" s="14" t="inlineStr">
        <is>
          <t>Base → 8 lojas → Base</t>
        </is>
      </c>
      <c r="O8" s="55">
        <f>HYPERLINK("https://www.google.com/maps/dir/?api=1&amp;origin=Rua+Bar%C3%A3o+de+Petr%C3%B3polis%2C+572%2C+Rio+Comprido%2C+Rio+de+Janeiro%2C+RJ&amp;destination=Rua+Bar%C3%A3o+de+Petr%C3%B3polis%2C+572%2C+Rio+Comprido%2C+Rio+de+Janeiro%2C+RJ&amp;waypoints=Av.+Rio+Branco%2C+124%2C+Centro%2C+Rio+de+Janeiro|Av.+Rio+Branco%2C+185%2C+Centro%2C+Rio+de+Janeiro|Rua+Neri+Pinheiro%2C+293%2C+Cidade+Nova%2C+Rio+de+Janeiro|Rua+das+Laranjeiras%2C+183%2C+Laranjeiras%2C+Rio+de+Janeiro|Rua+Senador+Vergueiro%2C+9%2C+Flamengo%2C+Rio+de+Janeiro|Av.+Lauro+Sodr%C3%A9%2C+445%2C+Botafogo%2C+Rio+de+Janeiro|Rua+S%C3%A3o+Clemente%2C+206%2C+Botafogo%2C+Rio+de+Janeiro|Rua+Volunt%C3%A1rios+da+P%C3%A1tria%2C+128%2C+Botafogo%2C+Rio+de+Janeiro&amp;travelmode=transit","🚌🚇 ABRIR ROTA COMPLETA")</f>
        <v/>
      </c>
    </row>
    <row r="9">
      <c r="A9" s="20" t="inlineStr">
        <is>
          <t>Quarta-feira</t>
        </is>
      </c>
      <c r="B9" s="20" t="inlineStr">
        <is>
          <t>07/10/2026</t>
        </is>
      </c>
      <c r="C9" s="20" t="inlineStr">
        <is>
          <t>Zona Sul</t>
        </is>
      </c>
      <c r="D9" s="20" t="n">
        <v>8</v>
      </c>
      <c r="E9" s="20" t="n">
        <v>4</v>
      </c>
      <c r="F9" s="20" t="inlineStr">
        <is>
          <t>V38</t>
        </is>
      </c>
      <c r="G9" s="18" t="inlineStr">
        <is>
          <t>Drogaria Venancio</t>
        </is>
      </c>
      <c r="H9" s="20" t="inlineStr"/>
      <c r="I9" s="20" t="inlineStr">
        <is>
          <t>Av. Nossa Sra. de Copacabana, 791-793, loja A — Copacabana, Rio de Janeiro</t>
        </is>
      </c>
      <c r="J9" s="20">
        <f>HYPERLINK("https://www.google.com/maps/dir/?api=1&amp;origin=Av.+Nossa+Sra.+de+Copacabana%2C+872%2C+Copacabana%2C+Rio+de+Janeiro%2C+RJ&amp;destination=Av.+Nossa+Sra.+de+Copacabana%2C+791-793%2C+loja+A%2C+Copacabana%2C+Rio+de+Janeiro%2C+RJ&amp;travelmode=transit","🚌🚇 Abrir trajeto")</f>
        <v/>
      </c>
      <c r="L9" s="14" t="inlineStr">
        <is>
          <t>Segunda-feira</t>
        </is>
      </c>
      <c r="M9" s="14" t="n">
        <v>9</v>
      </c>
      <c r="N9" s="14" t="inlineStr">
        <is>
          <t>Base → 9 lojas → Base</t>
        </is>
      </c>
      <c r="O9" s="55">
        <f>HYPERLINK("https://www.google.com/maps/dir/?api=1&amp;origin=Rua+Bar%C3%A3o+de+Petr%C3%B3polis%2C+572%2C+Rio+Comprido%2C+Rio+de+Janeiro%2C+RJ&amp;destination=Rua+Bar%C3%A3o+de+Petr%C3%B3polis%2C+572%2C+Rio+Comprido%2C+Rio+de+Janeiro%2C+RJ&amp;waypoints=Rua+Bar%C3%A3o+de+Mesquita%2C+35%2C+Tijuca%2C+Rio+de+Janeiro|Rua+Conde+de+Bonfim%2C+340%2C+Tijuca%2C+Rio+de+Janeiro|Rua+Conde+de+Bonfim%2C+372%2C+Tijuca%2C+Rio+de+Janeiro|Rua+Conde+de+Bonfim%2C+532%2C+Tijuca%2C+Rio+de+Janeiro|Av.+Maracan%C3%A3%2C+834%2C+Tijuca%2C+Rio+de+Janeiro|Rua+General+Roca%2C+836%2C+Tijuca%2C+Rio+de+Janeiro|Rua+Haddock+Lobo%2C+360%2C+Tijuca%2C+Rio+de+Janeiro|Rua+Uruguai%2C+351%2C+Tijuca%2C+Rio+de+Janeiro|Rua+S%C3%A3o+Francisco+Xavier%2C+Tijuca%2C+Rio+de+Janeiro&amp;travelmode=transit","🚌🚇 ABRIR ROTA COMPLETA")</f>
        <v/>
      </c>
    </row>
    <row r="10">
      <c r="A10" s="20" t="inlineStr">
        <is>
          <t>Quarta-feira</t>
        </is>
      </c>
      <c r="B10" s="20" t="inlineStr">
        <is>
          <t>07/10/2026</t>
        </is>
      </c>
      <c r="C10" s="20" t="inlineStr">
        <is>
          <t>Zona Sul</t>
        </is>
      </c>
      <c r="D10" s="20" t="n">
        <v>8</v>
      </c>
      <c r="E10" s="20" t="n">
        <v>5</v>
      </c>
      <c r="F10" s="20" t="inlineStr">
        <is>
          <t>V65</t>
        </is>
      </c>
      <c r="G10" s="18" t="inlineStr">
        <is>
          <t>Drogaria Venancio</t>
        </is>
      </c>
      <c r="H10" s="20" t="inlineStr"/>
      <c r="I10" s="20" t="inlineStr">
        <is>
          <t>Rua Siqueira Campos, 107 — Copacabana, Rio de Janeiro</t>
        </is>
      </c>
      <c r="J10" s="20">
        <f>HYPERLINK("https://www.google.com/maps/dir/?api=1&amp;origin=Av.+Nossa+Sra.+de+Copacabana%2C+791-793%2C+loja+A%2C+Copacabana%2C+Rio+de+Janeiro%2C+RJ&amp;destination=Rua+Siqueira+Campos%2C+107%2C+Copacabana%2C+Rio+de+Janeiro%2C+RJ&amp;travelmode=transit","🚌🚇 Abrir trajeto")</f>
        <v/>
      </c>
      <c r="L10" s="14" t="inlineStr">
        <is>
          <t>Terça-feira</t>
        </is>
      </c>
      <c r="M10" s="14" t="n">
        <v>6</v>
      </c>
      <c r="N10" s="14" t="inlineStr">
        <is>
          <t>Base → 6 lojas → Base</t>
        </is>
      </c>
      <c r="O10" s="55">
        <f>HYPERLINK("https://www.google.com/maps/dir/?api=1&amp;origin=Rua+Bar%C3%A3o+de+Petr%C3%B3polis%2C+572%2C+Rio+Comprido%2C+Rio+de+Janeiro%2C+RJ&amp;destination=Rua+Bar%C3%A3o+de+Petr%C3%B3polis%2C+572%2C+Rio+Comprido%2C+Rio+de+Janeiro%2C+RJ&amp;waypoints=Rua+Dias+da+Cruz%2C+336%2C+M%C3%A9ier%2C+Rio+de+Janeiro|Rua+Dias+da+Cruz%2C+110%2F108%2C+M%C3%A9ier%2C+Rio+de+Janeiro|Av.+Dom+H%C3%A9lder+C%C3%A2mara%2C+5.273%2C+Cachambi%2C+Rio+de+Janeiro|Rua+Dr.+Bulh%C3%B5es%2C+956%2C+Engenho+de+Dentro%2C+Rio+de+Janeiro|Pra%C3%A7a+Edmundo+Rego%2C+38%2C+Graja%C3%BA%2C+Rio+de+Janeiro|Rua+Bar%C3%A3o+de+Mesquita%2C+1002%2C+Graja%C3%BA%2C+Rio+de+Janeiro&amp;travelmode=transit","🚌🚇 ABRIR ROTA COMPLETA")</f>
        <v/>
      </c>
    </row>
    <row r="11">
      <c r="A11" s="20" t="inlineStr">
        <is>
          <t>Quarta-feira</t>
        </is>
      </c>
      <c r="B11" s="20" t="inlineStr">
        <is>
          <t>07/10/2026</t>
        </is>
      </c>
      <c r="C11" s="20" t="inlineStr">
        <is>
          <t>Zona Sul</t>
        </is>
      </c>
      <c r="D11" s="20" t="n">
        <v>8</v>
      </c>
      <c r="E11" s="20" t="n">
        <v>6</v>
      </c>
      <c r="F11" s="20" t="inlineStr">
        <is>
          <t>V140</t>
        </is>
      </c>
      <c r="G11" s="18" t="inlineStr">
        <is>
          <t>Drogaria Venancio</t>
        </is>
      </c>
      <c r="H11" s="20" t="inlineStr"/>
      <c r="I11" s="20" t="inlineStr">
        <is>
          <t>Av. Nossa Sra. de Copacabana, 619 — Copacabana, Rio de Janeiro</t>
        </is>
      </c>
      <c r="J11" s="20">
        <f>HYPERLINK("https://www.google.com/maps/dir/?api=1&amp;origin=Rua+Siqueira+Campos%2C+107%2C+Copacabana%2C+Rio+de+Janeiro%2C+RJ&amp;destination=Av.+Nossa+Sra.+de+Copacabana%2C+619%2C+Copacabana%2C+Rio+de+Janeiro%2C+RJ&amp;travelmode=transit","🚌🚇 Abrir trajeto")</f>
        <v/>
      </c>
    </row>
    <row r="12">
      <c r="A12" s="20" t="inlineStr">
        <is>
          <t>Quarta-feira</t>
        </is>
      </c>
      <c r="B12" s="20" t="inlineStr">
        <is>
          <t>07/10/2026</t>
        </is>
      </c>
      <c r="C12" s="20" t="inlineStr">
        <is>
          <t>Zona Sul</t>
        </is>
      </c>
      <c r="D12" s="20" t="n">
        <v>8</v>
      </c>
      <c r="E12" s="20" t="n">
        <v>7</v>
      </c>
      <c r="F12" s="20" t="inlineStr"/>
      <c r="G12" s="23" t="inlineStr">
        <is>
          <t>Cristal</t>
        </is>
      </c>
      <c r="H12" s="20" t="inlineStr">
        <is>
          <t>Drogaria Copa Lemos</t>
        </is>
      </c>
      <c r="I12" s="20" t="inlineStr">
        <is>
          <t>Av. Nossa Sra. de Copacabana, 1048, loja A — Copacabana, Rio de Janeiro</t>
        </is>
      </c>
      <c r="J12" s="20">
        <f>HYPERLINK("https://www.google.com/maps/dir/?api=1&amp;origin=Av.+Nossa+Sra.+de+Copacabana%2C+619%2C+Copacabana%2C+Rio+de+Janeiro%2C+RJ&amp;destination=Av.+Nossa+Sra.+de+Copacabana%2C+1048%2C+loja+A%2C+Copacabana%2C+Rio+de+Janeiro%2C+RJ&amp;travelmode=transit","🚌🚇 Abrir trajeto")</f>
        <v/>
      </c>
      <c r="L12" s="56" t="inlineStr">
        <is>
          <t>Na aba Visitas, o link abre só o endereço. Aqui, o botão é específico para a rota completa do dia.</t>
        </is>
      </c>
    </row>
    <row r="13">
      <c r="A13" s="20" t="inlineStr">
        <is>
          <t>Quarta-feira</t>
        </is>
      </c>
      <c r="B13" s="20" t="inlineStr">
        <is>
          <t>07/10/2026</t>
        </is>
      </c>
      <c r="C13" s="20" t="inlineStr">
        <is>
          <t>Zona Sul</t>
        </is>
      </c>
      <c r="D13" s="20" t="n">
        <v>8</v>
      </c>
      <c r="E13" s="20" t="n">
        <v>8</v>
      </c>
      <c r="F13" s="20" t="inlineStr"/>
      <c r="G13" s="23" t="inlineStr">
        <is>
          <t>Cristal</t>
        </is>
      </c>
      <c r="H13" s="20" t="inlineStr">
        <is>
          <t>Drogaria Copa Urich</t>
        </is>
      </c>
      <c r="I13" s="20" t="inlineStr">
        <is>
          <t>Av. Nossa Sra. de Copacabana, 1063, loja C — Copacabana, Rio de Janeiro</t>
        </is>
      </c>
      <c r="J13" s="20">
        <f>HYPERLINK("https://www.google.com/maps/dir/?api=1&amp;origin=Av.+Nossa+Sra.+de+Copacabana%2C+1048%2C+loja+A%2C+Copacabana%2C+Rio+de+Janeiro%2C+RJ&amp;destination=Av.+Nossa+Sra.+de+Copacabana%2C+1063%2C+loja+C%2C+Copacabana%2C+Rio+de+Janeiro%2C+RJ&amp;travelmode=transit","🚌🚇 Abrir trajeto")</f>
        <v/>
      </c>
    </row>
    <row r="14">
      <c r="A14" s="20" t="inlineStr">
        <is>
          <t>Quarta-feira</t>
        </is>
      </c>
      <c r="B14" s="20" t="inlineStr">
        <is>
          <t>07/10/2026</t>
        </is>
      </c>
      <c r="C14" s="20" t="inlineStr">
        <is>
          <t>Zona Sul</t>
        </is>
      </c>
      <c r="D14" s="20" t="n">
        <v>8</v>
      </c>
      <c r="E14" s="20" t="n">
        <v>9</v>
      </c>
      <c r="F14" s="20" t="inlineStr">
        <is>
          <t>RETORNO</t>
        </is>
      </c>
      <c r="G14" s="20" t="inlineStr">
        <is>
          <t>Base</t>
        </is>
      </c>
      <c r="H14" s="20" t="inlineStr">
        <is>
          <t>Rio Comprido</t>
        </is>
      </c>
      <c r="I14" s="20" t="inlineStr">
        <is>
          <t>Rua Barão de Petrópolis, 572 — Rio Comprido, Rio de Janeiro</t>
        </is>
      </c>
      <c r="J14" s="20">
        <f>HYPERLINK("https://www.google.com/maps/dir/?api=1&amp;origin=Av.+Nossa+Sra.+de+Copacabana%2C+1063%2C+loja+C%2C+Copacabana%2C+Rio+de+Janeiro%2C+RJ&amp;destination=Rua+Bar%C3%A3o+de+Petr%C3%B3polis%2C+572%2C+Rio+Comprido%2C+Rio+de+Janeiro%2C+RJ&amp;travelmode=transit","🏠 Voltar (transporte público)")</f>
        <v/>
      </c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</row>
    <row r="16">
      <c r="A16" s="20" t="inlineStr">
        <is>
          <t>Quinta-feira</t>
        </is>
      </c>
      <c r="B16" s="20" t="inlineStr">
        <is>
          <t>08/10/2026</t>
        </is>
      </c>
      <c r="C16" s="20" t="inlineStr">
        <is>
          <t>Zona Sul</t>
        </is>
      </c>
      <c r="D16" s="20" t="n">
        <v>10</v>
      </c>
      <c r="E16" s="20" t="n">
        <v>1</v>
      </c>
      <c r="F16" s="20" t="inlineStr"/>
      <c r="G16" s="23" t="inlineStr">
        <is>
          <t>Cristal</t>
        </is>
      </c>
      <c r="H16" s="20" t="inlineStr">
        <is>
          <t>Drogaria Llipe Farma</t>
        </is>
      </c>
      <c r="I16" s="20" t="inlineStr">
        <is>
          <t>Rua Gomes Carneiro, 144, loja A — Ipanema, Rio de Janeiro</t>
        </is>
      </c>
      <c r="J16" s="20">
        <f>HYPERLINK("https://www.google.com/maps/dir/?api=1&amp;origin=Rua+Bar%C3%A3o+de+Petr%C3%B3polis%2C+572%2C+Rio+Comprido%2C+Rio+de+Janeiro%2C+RJ&amp;destination=Rua+Gomes+Carneiro%2C+144%2C+loja+A%2C+Ipanema%2C+Rio+de+Janeiro%2C+RJ&amp;travelmode=transit","🚌🚇 Abrir trajeto")</f>
        <v/>
      </c>
    </row>
    <row r="17">
      <c r="A17" s="20" t="inlineStr">
        <is>
          <t>Quinta-feira</t>
        </is>
      </c>
      <c r="B17" s="20" t="inlineStr">
        <is>
          <t>08/10/2026</t>
        </is>
      </c>
      <c r="C17" s="20" t="inlineStr">
        <is>
          <t>Zona Sul</t>
        </is>
      </c>
      <c r="D17" s="20" t="n">
        <v>10</v>
      </c>
      <c r="E17" s="20" t="n">
        <v>2</v>
      </c>
      <c r="F17" s="20" t="inlineStr">
        <is>
          <t>V21</t>
        </is>
      </c>
      <c r="G17" s="18" t="inlineStr">
        <is>
          <t>Drogaria Venancio</t>
        </is>
      </c>
      <c r="H17" s="20" t="inlineStr"/>
      <c r="I17" s="20" t="inlineStr">
        <is>
          <t>Rua Visconde de Pirajá, 477 — Ipanema, Rio de Janeiro</t>
        </is>
      </c>
      <c r="J17" s="20">
        <f>HYPERLINK("https://www.google.com/maps/dir/?api=1&amp;origin=Rua+Gomes+Carneiro%2C+144%2C+loja+A%2C+Ipanema%2C+Rio+de+Janeiro%2C+RJ&amp;destination=Rua+Visconde+de+Piraj%C3%A1%2C+477%2C+Ipanema%2C+Rio+de+Janeiro%2C+RJ&amp;travelmode=transit","🚌🚇 Abrir trajeto")</f>
        <v/>
      </c>
    </row>
    <row r="18">
      <c r="A18" s="20" t="inlineStr">
        <is>
          <t>Quinta-feira</t>
        </is>
      </c>
      <c r="B18" s="20" t="inlineStr">
        <is>
          <t>08/10/2026</t>
        </is>
      </c>
      <c r="C18" s="20" t="inlineStr">
        <is>
          <t>Zona Sul</t>
        </is>
      </c>
      <c r="D18" s="20" t="n">
        <v>10</v>
      </c>
      <c r="E18" s="20" t="n">
        <v>3</v>
      </c>
      <c r="F18" s="20" t="inlineStr">
        <is>
          <t>V138</t>
        </is>
      </c>
      <c r="G18" s="18" t="inlineStr">
        <is>
          <t>Drogaria Venancio</t>
        </is>
      </c>
      <c r="H18" s="20" t="inlineStr"/>
      <c r="I18" s="20" t="inlineStr">
        <is>
          <t>Rua Visconde de Pirajá, 174 — Ipanema, Rio de Janeiro</t>
        </is>
      </c>
      <c r="J18" s="20">
        <f>HYPERLINK("https://www.google.com/maps/dir/?api=1&amp;origin=Rua+Visconde+de+Piraj%C3%A1%2C+477%2C+Ipanema%2C+Rio+de+Janeiro%2C+RJ&amp;destination=Rua+Visconde+de+Piraj%C3%A1%2C+174%2C+Ipanema%2C+Rio+de+Janeiro%2C+RJ&amp;travelmode=transit","🚌🚇 Abrir trajeto")</f>
        <v/>
      </c>
    </row>
    <row r="19">
      <c r="A19" s="20" t="inlineStr">
        <is>
          <t>Quinta-feira</t>
        </is>
      </c>
      <c r="B19" s="20" t="inlineStr">
        <is>
          <t>08/10/2026</t>
        </is>
      </c>
      <c r="C19" s="20" t="inlineStr">
        <is>
          <t>Zona Sul</t>
        </is>
      </c>
      <c r="D19" s="20" t="n">
        <v>10</v>
      </c>
      <c r="E19" s="20" t="n">
        <v>4</v>
      </c>
      <c r="F19" s="20" t="inlineStr"/>
      <c r="G19" s="23" t="inlineStr">
        <is>
          <t>Cristal</t>
        </is>
      </c>
      <c r="H19" s="20" t="inlineStr">
        <is>
          <t>G5 Drogarias Ipanema</t>
        </is>
      </c>
      <c r="I19" s="20" t="inlineStr">
        <is>
          <t>Rua Visconde de Pirajá, 525, loja B — Ipanema, Rio de Janeiro</t>
        </is>
      </c>
      <c r="J19" s="20">
        <f>HYPERLINK("https://www.google.com/maps/dir/?api=1&amp;origin=Rua+Visconde+de+Piraj%C3%A1%2C+174%2C+Ipanema%2C+Rio+de+Janeiro%2C+RJ&amp;destination=Rua+Visconde+de+Piraj%C3%A1%2C+525%2C+loja+B%2C+Ipanema%2C+Rio+de+Janeiro%2C+RJ&amp;travelmode=transit","🚌🚇 Abrir trajeto")</f>
        <v/>
      </c>
    </row>
    <row r="20">
      <c r="A20" s="20" t="inlineStr">
        <is>
          <t>Quinta-feira</t>
        </is>
      </c>
      <c r="B20" s="20" t="inlineStr">
        <is>
          <t>08/10/2026</t>
        </is>
      </c>
      <c r="C20" s="20" t="inlineStr">
        <is>
          <t>Zona Sul</t>
        </is>
      </c>
      <c r="D20" s="20" t="n">
        <v>10</v>
      </c>
      <c r="E20" s="20" t="n">
        <v>5</v>
      </c>
      <c r="F20" s="20" t="inlineStr">
        <is>
          <t>V57</t>
        </is>
      </c>
      <c r="G20" s="18" t="inlineStr">
        <is>
          <t>Drogaria Venancio</t>
        </is>
      </c>
      <c r="H20" s="20" t="inlineStr"/>
      <c r="I20" s="20" t="inlineStr">
        <is>
          <t>Av. Ataulfo de Paiva, 80 — Leblon, Rio de Janeiro</t>
        </is>
      </c>
      <c r="J20" s="20">
        <f>HYPERLINK("https://www.google.com/maps/dir/?api=1&amp;origin=Rua+Visconde+de+Piraj%C3%A1%2C+525%2C+loja+B%2C+Ipanema%2C+Rio+de+Janeiro%2C+RJ&amp;destination=Av.+Ataulfo+de+Paiva%2C+80%2C+Leblon%2C+Rio+de+Janeiro%2C+RJ&amp;travelmode=transit","🚌🚇 Abrir trajeto")</f>
        <v/>
      </c>
    </row>
    <row r="21">
      <c r="A21" s="20" t="inlineStr">
        <is>
          <t>Quinta-feira</t>
        </is>
      </c>
      <c r="B21" s="20" t="inlineStr">
        <is>
          <t>08/10/2026</t>
        </is>
      </c>
      <c r="C21" s="20" t="inlineStr">
        <is>
          <t>Zona Sul</t>
        </is>
      </c>
      <c r="D21" s="20" t="n">
        <v>10</v>
      </c>
      <c r="E21" s="20" t="n">
        <v>6</v>
      </c>
      <c r="F21" s="20" t="inlineStr">
        <is>
          <t>V141</t>
        </is>
      </c>
      <c r="G21" s="18" t="inlineStr">
        <is>
          <t>Drogaria Venancio</t>
        </is>
      </c>
      <c r="H21" s="20" t="inlineStr"/>
      <c r="I21" s="20" t="inlineStr">
        <is>
          <t>Rua José Linhares, 244 — Leblon, Rio de Janeiro</t>
        </is>
      </c>
      <c r="J21" s="20">
        <f>HYPERLINK("https://www.google.com/maps/dir/?api=1&amp;origin=Av.+Ataulfo+de+Paiva%2C+80%2C+Leblon%2C+Rio+de+Janeiro%2C+RJ&amp;destination=Rua+Jos%C3%A9+Linhares%2C+244%2C+Leblon%2C+Rio+de+Janeiro%2C+RJ&amp;travelmode=transit","🚌🚇 Abrir trajeto")</f>
        <v/>
      </c>
    </row>
    <row r="22">
      <c r="A22" s="20" t="inlineStr">
        <is>
          <t>Quinta-feira</t>
        </is>
      </c>
      <c r="B22" s="20" t="inlineStr">
        <is>
          <t>08/10/2026</t>
        </is>
      </c>
      <c r="C22" s="20" t="inlineStr">
        <is>
          <t>Zona Sul</t>
        </is>
      </c>
      <c r="D22" s="20" t="n">
        <v>10</v>
      </c>
      <c r="E22" s="20" t="n">
        <v>7</v>
      </c>
      <c r="F22" s="20" t="inlineStr"/>
      <c r="G22" s="23" t="inlineStr">
        <is>
          <t>Cristal</t>
        </is>
      </c>
      <c r="H22" s="20" t="inlineStr">
        <is>
          <t>G5 Drogarias Lagoa</t>
        </is>
      </c>
      <c r="I22" s="20" t="inlineStr">
        <is>
          <t>Rua Mario Ribeiro, 231 — Leblon, Rio de Janeiro</t>
        </is>
      </c>
      <c r="J22" s="20">
        <f>HYPERLINK("https://www.google.com/maps/dir/?api=1&amp;origin=Rua+Jos%C3%A9+Linhares%2C+244%2C+Leblon%2C+Rio+de+Janeiro%2C+RJ&amp;destination=Rua+Mario+Ribeiro%2C+231%2C+Leblon%2C+Rio+de+Janeiro%2C+RJ&amp;travelmode=transit","🚌🚇 Abrir trajeto")</f>
        <v/>
      </c>
    </row>
    <row r="23">
      <c r="A23" s="20" t="inlineStr">
        <is>
          <t>Quinta-feira</t>
        </is>
      </c>
      <c r="B23" s="20" t="inlineStr">
        <is>
          <t>08/10/2026</t>
        </is>
      </c>
      <c r="C23" s="20" t="inlineStr">
        <is>
          <t>Zona Sul</t>
        </is>
      </c>
      <c r="D23" s="20" t="n">
        <v>10</v>
      </c>
      <c r="E23" s="20" t="n">
        <v>8</v>
      </c>
      <c r="F23" s="20" t="inlineStr"/>
      <c r="G23" s="23" t="inlineStr">
        <is>
          <t>Cristal</t>
        </is>
      </c>
      <c r="H23" s="20" t="inlineStr">
        <is>
          <t>Farmácia Providência</t>
        </is>
      </c>
      <c r="I23" s="20" t="inlineStr">
        <is>
          <t>Rua Marques de São Vicente, 39, loja A — Gávea, Rio de Janeiro</t>
        </is>
      </c>
      <c r="J23" s="20">
        <f>HYPERLINK("https://www.google.com/maps/dir/?api=1&amp;origin=Rua+Mario+Ribeiro%2C+231%2C+Leblon%2C+Rio+de+Janeiro%2C+RJ&amp;destination=Rua+Marques+de+S%C3%A3o+Vicente%2C+39%2C+loja+A%2C+G%C3%A1vea%2C+Rio+de+Janeiro%2C+RJ&amp;travelmode=transit","🚌🚇 Abrir trajeto")</f>
        <v/>
      </c>
    </row>
    <row r="24">
      <c r="A24" s="20" t="inlineStr">
        <is>
          <t>Quinta-feira</t>
        </is>
      </c>
      <c r="B24" s="20" t="inlineStr">
        <is>
          <t>08/10/2026</t>
        </is>
      </c>
      <c r="C24" s="20" t="inlineStr">
        <is>
          <t>Zona Sul</t>
        </is>
      </c>
      <c r="D24" s="20" t="n">
        <v>10</v>
      </c>
      <c r="E24" s="20" t="n">
        <v>9</v>
      </c>
      <c r="F24" s="20" t="inlineStr">
        <is>
          <t>V81</t>
        </is>
      </c>
      <c r="G24" s="18" t="inlineStr">
        <is>
          <t>Drogaria Venancio</t>
        </is>
      </c>
      <c r="H24" s="20" t="inlineStr"/>
      <c r="I24" s="20" t="inlineStr">
        <is>
          <t>Rua Jardim Botânico, 657 — Jardim Botânico, Rio de Janeiro</t>
        </is>
      </c>
      <c r="J24" s="20">
        <f>HYPERLINK("https://www.google.com/maps/dir/?api=1&amp;origin=Rua+Marques+de+S%C3%A3o+Vicente%2C+39%2C+loja+A%2C+G%C3%A1vea%2C+Rio+de+Janeiro%2C+RJ&amp;destination=Rua+Jardim+Bot%C3%A2nico%2C+657%2C+Jardim+Bot%C3%A2nico%2C+Rio+de+Janeiro%2C+RJ&amp;travelmode=transit","🚌🚇 Abrir trajeto")</f>
        <v/>
      </c>
    </row>
    <row r="25">
      <c r="A25" s="20" t="inlineStr">
        <is>
          <t>Quinta-feira</t>
        </is>
      </c>
      <c r="B25" s="20" t="inlineStr">
        <is>
          <t>08/10/2026</t>
        </is>
      </c>
      <c r="C25" s="20" t="inlineStr">
        <is>
          <t>Zona Sul</t>
        </is>
      </c>
      <c r="D25" s="20" t="n">
        <v>10</v>
      </c>
      <c r="E25" s="20" t="n">
        <v>10</v>
      </c>
      <c r="F25" s="20" t="inlineStr">
        <is>
          <t>V63</t>
        </is>
      </c>
      <c r="G25" s="18" t="inlineStr">
        <is>
          <t>Drogaria Venancio</t>
        </is>
      </c>
      <c r="H25" s="20" t="inlineStr"/>
      <c r="I25" s="20" t="inlineStr">
        <is>
          <t>Rua Jardim Botânico, 726 — Jardim Botânico, Rio de Janeiro</t>
        </is>
      </c>
      <c r="J25" s="20">
        <f>HYPERLINK("https://www.google.com/maps/dir/?api=1&amp;origin=Rua+Jardim+Bot%C3%A2nico%2C+657%2C+Jardim+Bot%C3%A2nico%2C+Rio+de+Janeiro%2C+RJ&amp;destination=Rua+Jardim+Bot%C3%A2nico%2C+726%2C+Jardim+Bot%C3%A2nico%2C+Rio+de+Janeiro%2C+RJ&amp;travelmode=transit","🚌🚇 Abrir trajeto")</f>
        <v/>
      </c>
    </row>
    <row r="26">
      <c r="A26" s="20" t="inlineStr">
        <is>
          <t>Quinta-feira</t>
        </is>
      </c>
      <c r="B26" s="20" t="inlineStr">
        <is>
          <t>08/10/2026</t>
        </is>
      </c>
      <c r="C26" s="20" t="inlineStr">
        <is>
          <t>Zona Sul</t>
        </is>
      </c>
      <c r="D26" s="20" t="n">
        <v>10</v>
      </c>
      <c r="E26" s="20" t="n">
        <v>11</v>
      </c>
      <c r="F26" s="20" t="inlineStr">
        <is>
          <t>RETORNO</t>
        </is>
      </c>
      <c r="G26" s="20" t="inlineStr">
        <is>
          <t>Base</t>
        </is>
      </c>
      <c r="H26" s="20" t="inlineStr">
        <is>
          <t>Rio Comprido</t>
        </is>
      </c>
      <c r="I26" s="20" t="inlineStr">
        <is>
          <t>Rua Barão de Petrópolis, 572 — Rio Comprido, Rio de Janeiro</t>
        </is>
      </c>
      <c r="J26" s="20">
        <f>HYPERLINK("https://www.google.com/maps/dir/?api=1&amp;origin=Rua+Jardim+Bot%C3%A2nico%2C+726%2C+Jardim+Bot%C3%A2nico%2C+Rio+de+Janeiro%2C+RJ&amp;destination=Rua+Bar%C3%A3o+de+Petr%C3%B3polis%2C+572%2C+Rio+Comprido%2C+Rio+de+Janeiro%2C+RJ&amp;travelmode=transit","🏠 Voltar (transporte público)")</f>
        <v/>
      </c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</row>
    <row r="28">
      <c r="A28" s="20" t="inlineStr">
        <is>
          <t>Sexta-feira</t>
        </is>
      </c>
      <c r="B28" s="20" t="inlineStr">
        <is>
          <t>09/10/2026</t>
        </is>
      </c>
      <c r="C28" s="20" t="inlineStr">
        <is>
          <t>Centro / Zona Sul</t>
        </is>
      </c>
      <c r="D28" s="20" t="n">
        <v>8</v>
      </c>
      <c r="E28" s="20" t="n">
        <v>1</v>
      </c>
      <c r="F28" s="20" t="inlineStr">
        <is>
          <t>V59</t>
        </is>
      </c>
      <c r="G28" s="18" t="inlineStr">
        <is>
          <t>Drogaria Venancio</t>
        </is>
      </c>
      <c r="H28" s="20" t="inlineStr"/>
      <c r="I28" s="20" t="inlineStr">
        <is>
          <t>Av. Rio Branco, 124 — Centro, Rio de Janeiro</t>
        </is>
      </c>
      <c r="J28" s="20">
        <f>HYPERLINK("https://www.google.com/maps/dir/?api=1&amp;origin=Rua+Bar%C3%A3o+de+Petr%C3%B3polis%2C+572%2C+Rio+Comprido%2C+Rio+de+Janeiro%2C+RJ&amp;destination=Av.+Rio+Branco%2C+124%2C+Centro%2C+Rio+de+Janeiro%2C+RJ&amp;travelmode=transit","🚌🚇 Abrir trajeto")</f>
        <v/>
      </c>
    </row>
    <row r="29">
      <c r="A29" s="20" t="inlineStr">
        <is>
          <t>Sexta-feira</t>
        </is>
      </c>
      <c r="B29" s="20" t="inlineStr">
        <is>
          <t>09/10/2026</t>
        </is>
      </c>
      <c r="C29" s="20" t="inlineStr">
        <is>
          <t>Centro / Zona Sul</t>
        </is>
      </c>
      <c r="D29" s="20" t="n">
        <v>8</v>
      </c>
      <c r="E29" s="20" t="n">
        <v>2</v>
      </c>
      <c r="F29" s="20" t="inlineStr">
        <is>
          <t>V23</t>
        </is>
      </c>
      <c r="G29" s="18" t="inlineStr">
        <is>
          <t>Drogaria Venancio</t>
        </is>
      </c>
      <c r="H29" s="20" t="inlineStr"/>
      <c r="I29" s="20" t="inlineStr">
        <is>
          <t>Av. Rio Branco, 185 — Centro, Rio de Janeiro</t>
        </is>
      </c>
      <c r="J29" s="20">
        <f>HYPERLINK("https://www.google.com/maps/dir/?api=1&amp;origin=Av.+Rio+Branco%2C+124%2C+Centro%2C+Rio+de+Janeiro%2C+RJ&amp;destination=Av.+Rio+Branco%2C+185%2C+Centro%2C+Rio+de+Janeiro%2C+RJ&amp;travelmode=transit","🚌🚇 Abrir trajeto")</f>
        <v/>
      </c>
    </row>
    <row r="30">
      <c r="A30" s="20" t="inlineStr">
        <is>
          <t>Sexta-feira</t>
        </is>
      </c>
      <c r="B30" s="20" t="inlineStr">
        <is>
          <t>09/10/2026</t>
        </is>
      </c>
      <c r="C30" s="20" t="inlineStr">
        <is>
          <t>Centro / Zona Sul</t>
        </is>
      </c>
      <c r="D30" s="20" t="n">
        <v>8</v>
      </c>
      <c r="E30" s="20" t="n">
        <v>3</v>
      </c>
      <c r="F30" s="20" t="inlineStr">
        <is>
          <t>V32</t>
        </is>
      </c>
      <c r="G30" s="18" t="inlineStr">
        <is>
          <t>Drogaria Venancio</t>
        </is>
      </c>
      <c r="H30" s="20" t="inlineStr"/>
      <c r="I30" s="20" t="inlineStr">
        <is>
          <t>Rua Neri Pinheiro, 293 — Cidade Nova, Rio de Janeiro</t>
        </is>
      </c>
      <c r="J30" s="20">
        <f>HYPERLINK("https://www.google.com/maps/dir/?api=1&amp;origin=Av.+Rio+Branco%2C+185%2C+Centro%2C+Rio+de+Janeiro%2C+RJ&amp;destination=Rua+Neri+Pinheiro%2C+293%2C+Cidade+Nova%2C+Rio+de+Janeiro%2C+RJ&amp;travelmode=transit","🚌🚇 Abrir trajeto")</f>
        <v/>
      </c>
    </row>
    <row r="31">
      <c r="A31" s="20" t="inlineStr">
        <is>
          <t>Sexta-feira</t>
        </is>
      </c>
      <c r="B31" s="20" t="inlineStr">
        <is>
          <t>09/10/2026</t>
        </is>
      </c>
      <c r="C31" s="20" t="inlineStr">
        <is>
          <t>Centro / Zona Sul</t>
        </is>
      </c>
      <c r="D31" s="20" t="n">
        <v>8</v>
      </c>
      <c r="E31" s="20" t="n">
        <v>4</v>
      </c>
      <c r="F31" s="20" t="inlineStr">
        <is>
          <t>V121</t>
        </is>
      </c>
      <c r="G31" s="18" t="inlineStr">
        <is>
          <t>Drogaria Venancio</t>
        </is>
      </c>
      <c r="H31" s="20" t="inlineStr"/>
      <c r="I31" s="20" t="inlineStr">
        <is>
          <t>Rua das Laranjeiras, 183 — Laranjeiras, Rio de Janeiro</t>
        </is>
      </c>
      <c r="J31" s="20">
        <f>HYPERLINK("https://www.google.com/maps/dir/?api=1&amp;origin=Rua+Neri+Pinheiro%2C+293%2C+Cidade+Nova%2C+Rio+de+Janeiro%2C+RJ&amp;destination=Rua+das+Laranjeiras%2C+183%2C+Laranjeiras%2C+Rio+de+Janeiro%2C+RJ&amp;travelmode=transit","🚌🚇 Abrir trajeto")</f>
        <v/>
      </c>
    </row>
    <row r="32">
      <c r="A32" s="20" t="inlineStr">
        <is>
          <t>Sexta-feira</t>
        </is>
      </c>
      <c r="B32" s="20" t="inlineStr">
        <is>
          <t>09/10/2026</t>
        </is>
      </c>
      <c r="C32" s="20" t="inlineStr">
        <is>
          <t>Centro / Zona Sul</t>
        </is>
      </c>
      <c r="D32" s="20" t="n">
        <v>8</v>
      </c>
      <c r="E32" s="20" t="n">
        <v>5</v>
      </c>
      <c r="F32" s="20" t="inlineStr">
        <is>
          <t>V108</t>
        </is>
      </c>
      <c r="G32" s="18" t="inlineStr">
        <is>
          <t>Drogaria Venancio</t>
        </is>
      </c>
      <c r="H32" s="20" t="inlineStr"/>
      <c r="I32" s="20" t="inlineStr">
        <is>
          <t>Rua Senador Vergueiro, 9 — Flamengo, Rio de Janeiro</t>
        </is>
      </c>
      <c r="J32" s="20">
        <f>HYPERLINK("https://www.google.com/maps/dir/?api=1&amp;origin=Rua+das+Laranjeiras%2C+183%2C+Laranjeiras%2C+Rio+de+Janeiro%2C+RJ&amp;destination=Rua+Senador+Vergueiro%2C+9%2C+Flamengo%2C+Rio+de+Janeiro%2C+RJ&amp;travelmode=transit","🚌🚇 Abrir trajeto")</f>
        <v/>
      </c>
    </row>
    <row r="33">
      <c r="A33" s="20" t="inlineStr">
        <is>
          <t>Sexta-feira</t>
        </is>
      </c>
      <c r="B33" s="20" t="inlineStr">
        <is>
          <t>09/10/2026</t>
        </is>
      </c>
      <c r="C33" s="20" t="inlineStr">
        <is>
          <t>Centro / Zona Sul</t>
        </is>
      </c>
      <c r="D33" s="20" t="n">
        <v>8</v>
      </c>
      <c r="E33" s="20" t="n">
        <v>6</v>
      </c>
      <c r="F33" s="20" t="inlineStr">
        <is>
          <t>V132</t>
        </is>
      </c>
      <c r="G33" s="18" t="inlineStr">
        <is>
          <t>Drogaria Venancio</t>
        </is>
      </c>
      <c r="H33" s="20" t="inlineStr"/>
      <c r="I33" s="20" t="inlineStr">
        <is>
          <t>Av. Lauro Sodré, 445 — Botafogo, Rio de Janeiro</t>
        </is>
      </c>
      <c r="J33" s="20">
        <f>HYPERLINK("https://www.google.com/maps/dir/?api=1&amp;origin=Rua+Senador+Vergueiro%2C+9%2C+Flamengo%2C+Rio+de+Janeiro%2C+RJ&amp;destination=Av.+Lauro+Sodr%C3%A9%2C+445%2C+Botafogo%2C+Rio+de+Janeiro%2C+RJ&amp;travelmode=transit","🚌🚇 Abrir trajeto")</f>
        <v/>
      </c>
    </row>
    <row r="34">
      <c r="A34" s="20" t="inlineStr">
        <is>
          <t>Sexta-feira</t>
        </is>
      </c>
      <c r="B34" s="20" t="inlineStr">
        <is>
          <t>09/10/2026</t>
        </is>
      </c>
      <c r="C34" s="20" t="inlineStr">
        <is>
          <t>Centro / Zona Sul</t>
        </is>
      </c>
      <c r="D34" s="20" t="n">
        <v>8</v>
      </c>
      <c r="E34" s="20" t="n">
        <v>7</v>
      </c>
      <c r="F34" s="20" t="inlineStr">
        <is>
          <t>V131</t>
        </is>
      </c>
      <c r="G34" s="18" t="inlineStr">
        <is>
          <t>Drogaria Venancio</t>
        </is>
      </c>
      <c r="H34" s="20" t="inlineStr"/>
      <c r="I34" s="20" t="inlineStr">
        <is>
          <t>Rua São Clemente, 206 — Botafogo, Rio de Janeiro</t>
        </is>
      </c>
      <c r="J34" s="20">
        <f>HYPERLINK("https://www.google.com/maps/dir/?api=1&amp;origin=Av.+Lauro+Sodr%C3%A9%2C+445%2C+Botafogo%2C+Rio+de+Janeiro%2C+RJ&amp;destination=Rua+S%C3%A3o+Clemente%2C+206%2C+Botafogo%2C+Rio+de+Janeiro%2C+RJ&amp;travelmode=transit","🚌🚇 Abrir trajeto")</f>
        <v/>
      </c>
    </row>
    <row r="35">
      <c r="A35" s="20" t="inlineStr">
        <is>
          <t>Sexta-feira</t>
        </is>
      </c>
      <c r="B35" s="20" t="inlineStr">
        <is>
          <t>09/10/2026</t>
        </is>
      </c>
      <c r="C35" s="20" t="inlineStr">
        <is>
          <t>Centro / Zona Sul</t>
        </is>
      </c>
      <c r="D35" s="20" t="n">
        <v>8</v>
      </c>
      <c r="E35" s="20" t="n">
        <v>8</v>
      </c>
      <c r="F35" s="20" t="inlineStr">
        <is>
          <t>V28</t>
        </is>
      </c>
      <c r="G35" s="18" t="inlineStr">
        <is>
          <t>Drogaria Venancio</t>
        </is>
      </c>
      <c r="H35" s="20" t="inlineStr"/>
      <c r="I35" s="20" t="inlineStr">
        <is>
          <t>Rua Voluntários da Pátria, 128 — Botafogo, Rio de Janeiro</t>
        </is>
      </c>
      <c r="J35" s="20">
        <f>HYPERLINK("https://www.google.com/maps/dir/?api=1&amp;origin=Rua+S%C3%A3o+Clemente%2C+206%2C+Botafogo%2C+Rio+de+Janeiro%2C+RJ&amp;destination=Rua+Volunt%C3%A1rios+da+P%C3%A1tria%2C+128%2C+Botafogo%2C+Rio+de+Janeiro%2C+RJ&amp;travelmode=transit","🚌🚇 Abrir trajeto")</f>
        <v/>
      </c>
    </row>
    <row r="36">
      <c r="A36" s="20" t="inlineStr">
        <is>
          <t>Sexta-feira</t>
        </is>
      </c>
      <c r="B36" s="20" t="inlineStr">
        <is>
          <t>09/10/2026</t>
        </is>
      </c>
      <c r="C36" s="20" t="inlineStr">
        <is>
          <t>Centro / Zona Sul</t>
        </is>
      </c>
      <c r="D36" s="20" t="n">
        <v>8</v>
      </c>
      <c r="E36" s="20" t="n">
        <v>9</v>
      </c>
      <c r="F36" s="20" t="inlineStr">
        <is>
          <t>RETORNO</t>
        </is>
      </c>
      <c r="G36" s="20" t="inlineStr">
        <is>
          <t>Base</t>
        </is>
      </c>
      <c r="H36" s="20" t="inlineStr">
        <is>
          <t>Rio Comprido</t>
        </is>
      </c>
      <c r="I36" s="20" t="inlineStr">
        <is>
          <t>Rua Barão de Petrópolis, 572 — Rio Comprido, Rio de Janeiro</t>
        </is>
      </c>
      <c r="J36" s="20">
        <f>HYPERLINK("https://www.google.com/maps/dir/?api=1&amp;origin=Rua+Volunt%C3%A1rios+da+P%C3%A1tria%2C+128%2C+Botafogo%2C+Rio+de+Janeiro%2C+RJ&amp;destination=Rua+Bar%C3%A3o+de+Petr%C3%B3polis%2C+572%2C+Rio+Comprido%2C+Rio+de+Janeiro%2C+RJ&amp;travelmode=transit","🏠 Voltar (transporte público)")</f>
        <v/>
      </c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</row>
    <row r="38">
      <c r="A38" s="20" t="inlineStr">
        <is>
          <t>Segunda-feira</t>
        </is>
      </c>
      <c r="B38" s="20" t="inlineStr">
        <is>
          <t>12/10/2026</t>
        </is>
      </c>
      <c r="C38" s="20" t="inlineStr">
        <is>
          <t>Zona Norte</t>
        </is>
      </c>
      <c r="D38" s="20" t="n">
        <v>9</v>
      </c>
      <c r="E38" s="20" t="n">
        <v>1</v>
      </c>
      <c r="F38" s="20" t="inlineStr">
        <is>
          <t>V126</t>
        </is>
      </c>
      <c r="G38" s="18" t="inlineStr">
        <is>
          <t>Drogaria Venancio</t>
        </is>
      </c>
      <c r="H38" s="20" t="inlineStr"/>
      <c r="I38" s="20" t="inlineStr">
        <is>
          <t>Rua Barão de Mesquita, 35 — Tijuca, Rio de Janeiro</t>
        </is>
      </c>
      <c r="J38" s="20">
        <f>HYPERLINK("https://www.google.com/maps/dir/?api=1&amp;origin=Rua+Bar%C3%A3o+de+Petr%C3%B3polis%2C+572%2C+Rio+Comprido%2C+Rio+de+Janeiro%2C+RJ&amp;destination=Rua+Bar%C3%A3o+de+Mesquita%2C+35%2C+Tijuca%2C+Rio+de+Janeiro%2C+RJ&amp;travelmode=transit","🚌🚇 Abrir trajeto")</f>
        <v/>
      </c>
    </row>
    <row r="39">
      <c r="A39" s="20" t="inlineStr">
        <is>
          <t>Segunda-feira</t>
        </is>
      </c>
      <c r="B39" s="20" t="inlineStr">
        <is>
          <t>12/10/2026</t>
        </is>
      </c>
      <c r="C39" s="20" t="inlineStr">
        <is>
          <t>Zona Norte</t>
        </is>
      </c>
      <c r="D39" s="20" t="n">
        <v>9</v>
      </c>
      <c r="E39" s="20" t="n">
        <v>2</v>
      </c>
      <c r="F39" s="20" t="inlineStr">
        <is>
          <t>V7</t>
        </is>
      </c>
      <c r="G39" s="18" t="inlineStr">
        <is>
          <t>Drogaria Venancio</t>
        </is>
      </c>
      <c r="H39" s="20" t="inlineStr"/>
      <c r="I39" s="20" t="inlineStr">
        <is>
          <t>Rua Conde de Bonfim, 340 — Tijuca, Rio de Janeiro</t>
        </is>
      </c>
      <c r="J39" s="20">
        <f>HYPERLINK("https://www.google.com/maps/dir/?api=1&amp;origin=Rua+Bar%C3%A3o+de+Mesquita%2C+35%2C+Tijuca%2C+Rio+de+Janeiro%2C+RJ&amp;destination=Rua+Conde+de+Bonfim%2C+340%2C+Tijuca%2C+Rio+de+Janeiro%2C+RJ&amp;travelmode=transit","🚌🚇 Abrir trajeto")</f>
        <v/>
      </c>
    </row>
    <row r="40">
      <c r="A40" s="20" t="inlineStr">
        <is>
          <t>Segunda-feira</t>
        </is>
      </c>
      <c r="B40" s="20" t="inlineStr">
        <is>
          <t>12/10/2026</t>
        </is>
      </c>
      <c r="C40" s="20" t="inlineStr">
        <is>
          <t>Zona Norte</t>
        </is>
      </c>
      <c r="D40" s="20" t="n">
        <v>9</v>
      </c>
      <c r="E40" s="20" t="n">
        <v>3</v>
      </c>
      <c r="F40" s="20" t="inlineStr">
        <is>
          <t>V100</t>
        </is>
      </c>
      <c r="G40" s="18" t="inlineStr">
        <is>
          <t>Drogaria Venancio</t>
        </is>
      </c>
      <c r="H40" s="20" t="inlineStr"/>
      <c r="I40" s="20" t="inlineStr">
        <is>
          <t>Rua Conde de Bonfim, 372 — Tijuca, Rio de Janeiro</t>
        </is>
      </c>
      <c r="J40" s="20">
        <f>HYPERLINK("https://www.google.com/maps/dir/?api=1&amp;origin=Rua+Conde+de+Bonfim%2C+340%2C+Tijuca%2C+Rio+de+Janeiro%2C+RJ&amp;destination=Rua+Conde+de+Bonfim%2C+372%2C+Tijuca%2C+Rio+de+Janeiro%2C+RJ&amp;travelmode=transit","🚌🚇 Abrir trajeto")</f>
        <v/>
      </c>
    </row>
    <row r="41">
      <c r="A41" s="20" t="inlineStr">
        <is>
          <t>Segunda-feira</t>
        </is>
      </c>
      <c r="B41" s="20" t="inlineStr">
        <is>
          <t>12/10/2026</t>
        </is>
      </c>
      <c r="C41" s="20" t="inlineStr">
        <is>
          <t>Zona Norte</t>
        </is>
      </c>
      <c r="D41" s="20" t="n">
        <v>9</v>
      </c>
      <c r="E41" s="20" t="n">
        <v>4</v>
      </c>
      <c r="F41" s="20" t="inlineStr">
        <is>
          <t>V136</t>
        </is>
      </c>
      <c r="G41" s="18" t="inlineStr">
        <is>
          <t>Drogaria Venancio</t>
        </is>
      </c>
      <c r="H41" s="20" t="inlineStr"/>
      <c r="I41" s="20" t="inlineStr">
        <is>
          <t>Rua Conde de Bonfim, 532 — Tijuca, Rio de Janeiro</t>
        </is>
      </c>
      <c r="J41" s="20">
        <f>HYPERLINK("https://www.google.com/maps/dir/?api=1&amp;origin=Rua+Conde+de+Bonfim%2C+372%2C+Tijuca%2C+Rio+de+Janeiro%2C+RJ&amp;destination=Rua+Conde+de+Bonfim%2C+532%2C+Tijuca%2C+Rio+de+Janeiro%2C+RJ&amp;travelmode=transit","🚌🚇 Abrir trajeto")</f>
        <v/>
      </c>
    </row>
    <row r="42">
      <c r="A42" s="20" t="inlineStr">
        <is>
          <t>Segunda-feira</t>
        </is>
      </c>
      <c r="B42" s="20" t="inlineStr">
        <is>
          <t>12/10/2026</t>
        </is>
      </c>
      <c r="C42" s="20" t="inlineStr">
        <is>
          <t>Zona Norte</t>
        </is>
      </c>
      <c r="D42" s="20" t="n">
        <v>9</v>
      </c>
      <c r="E42" s="20" t="n">
        <v>5</v>
      </c>
      <c r="F42" s="20" t="inlineStr">
        <is>
          <t>V72</t>
        </is>
      </c>
      <c r="G42" s="18" t="inlineStr">
        <is>
          <t>Drogaria Venancio</t>
        </is>
      </c>
      <c r="H42" s="20" t="inlineStr"/>
      <c r="I42" s="20" t="inlineStr">
        <is>
          <t>Av. Maracanã, 834 — Tijuca, Rio de Janeiro</t>
        </is>
      </c>
      <c r="J42" s="20">
        <f>HYPERLINK("https://www.google.com/maps/dir/?api=1&amp;origin=Rua+Conde+de+Bonfim%2C+532%2C+Tijuca%2C+Rio+de+Janeiro%2C+RJ&amp;destination=Av.+Maracan%C3%A3%2C+834%2C+Tijuca%2C+Rio+de+Janeiro%2C+RJ&amp;travelmode=transit","🚌🚇 Abrir trajeto")</f>
        <v/>
      </c>
    </row>
    <row r="43">
      <c r="A43" s="20" t="inlineStr">
        <is>
          <t>Segunda-feira</t>
        </is>
      </c>
      <c r="B43" s="20" t="inlineStr">
        <is>
          <t>12/10/2026</t>
        </is>
      </c>
      <c r="C43" s="20" t="inlineStr">
        <is>
          <t>Zona Norte</t>
        </is>
      </c>
      <c r="D43" s="20" t="n">
        <v>9</v>
      </c>
      <c r="E43" s="20" t="n">
        <v>6</v>
      </c>
      <c r="F43" s="20" t="inlineStr">
        <is>
          <t>V9</t>
        </is>
      </c>
      <c r="G43" s="18" t="inlineStr">
        <is>
          <t>Drogaria Venancio</t>
        </is>
      </c>
      <c r="H43" s="20" t="inlineStr"/>
      <c r="I43" s="20" t="inlineStr">
        <is>
          <t>Rua General Roca, 836 — Tijuca, Rio de Janeiro</t>
        </is>
      </c>
      <c r="J43" s="20">
        <f>HYPERLINK("https://www.google.com/maps/dir/?api=1&amp;origin=Av.+Maracan%C3%A3%2C+834%2C+Tijuca%2C+Rio+de+Janeiro%2C+RJ&amp;destination=Rua+General+Roca%2C+836%2C+Tijuca%2C+Rio+de+Janeiro%2C+RJ&amp;travelmode=transit","🚌🚇 Abrir trajeto")</f>
        <v/>
      </c>
    </row>
    <row r="44">
      <c r="A44" s="20" t="inlineStr">
        <is>
          <t>Segunda-feira</t>
        </is>
      </c>
      <c r="B44" s="20" t="inlineStr">
        <is>
          <t>12/10/2026</t>
        </is>
      </c>
      <c r="C44" s="20" t="inlineStr">
        <is>
          <t>Zona Norte</t>
        </is>
      </c>
      <c r="D44" s="20" t="n">
        <v>9</v>
      </c>
      <c r="E44" s="20" t="n">
        <v>7</v>
      </c>
      <c r="F44" s="20" t="inlineStr">
        <is>
          <t>V116</t>
        </is>
      </c>
      <c r="G44" s="18" t="inlineStr">
        <is>
          <t>Drogaria Venancio</t>
        </is>
      </c>
      <c r="H44" s="20" t="inlineStr"/>
      <c r="I44" s="20" t="inlineStr">
        <is>
          <t>Rua Haddock Lobo, 360 — Tijuca, Rio de Janeiro</t>
        </is>
      </c>
      <c r="J44" s="20">
        <f>HYPERLINK("https://www.google.com/maps/dir/?api=1&amp;origin=Rua+General+Roca%2C+836%2C+Tijuca%2C+Rio+de+Janeiro%2C+RJ&amp;destination=Rua+Haddock+Lobo%2C+360%2C+Tijuca%2C+Rio+de+Janeiro%2C+RJ&amp;travelmode=transit","🚌🚇 Abrir trajeto")</f>
        <v/>
      </c>
    </row>
    <row r="45">
      <c r="A45" s="20" t="inlineStr">
        <is>
          <t>Segunda-feira</t>
        </is>
      </c>
      <c r="B45" s="20" t="inlineStr">
        <is>
          <t>12/10/2026</t>
        </is>
      </c>
      <c r="C45" s="20" t="inlineStr">
        <is>
          <t>Zona Norte</t>
        </is>
      </c>
      <c r="D45" s="20" t="n">
        <v>9</v>
      </c>
      <c r="E45" s="20" t="n">
        <v>8</v>
      </c>
      <c r="F45" s="20" t="inlineStr">
        <is>
          <t>V133</t>
        </is>
      </c>
      <c r="G45" s="18" t="inlineStr">
        <is>
          <t>Drogaria Venancio</t>
        </is>
      </c>
      <c r="H45" s="20" t="inlineStr"/>
      <c r="I45" s="20" t="inlineStr">
        <is>
          <t>Rua Uruguai, 351 — Tijuca, Rio de Janeiro</t>
        </is>
      </c>
      <c r="J45" s="20">
        <f>HYPERLINK("https://www.google.com/maps/dir/?api=1&amp;origin=Rua+Haddock+Lobo%2C+360%2C+Tijuca%2C+Rio+de+Janeiro%2C+RJ&amp;destination=Rua+Uruguai%2C+351%2C+Tijuca%2C+Rio+de+Janeiro%2C+RJ&amp;travelmode=transit","🚌🚇 Abrir trajeto")</f>
        <v/>
      </c>
    </row>
    <row r="46">
      <c r="A46" s="20" t="inlineStr">
        <is>
          <t>Segunda-feira</t>
        </is>
      </c>
      <c r="B46" s="20" t="inlineStr">
        <is>
          <t>12/10/2026</t>
        </is>
      </c>
      <c r="C46" s="20" t="inlineStr">
        <is>
          <t>Zona Norte</t>
        </is>
      </c>
      <c r="D46" s="20" t="n">
        <v>9</v>
      </c>
      <c r="E46" s="20" t="n">
        <v>9</v>
      </c>
      <c r="F46" s="20" t="inlineStr">
        <is>
          <t>V127</t>
        </is>
      </c>
      <c r="G46" s="18" t="inlineStr">
        <is>
          <t>Drogaria Venancio</t>
        </is>
      </c>
      <c r="H46" s="20" t="inlineStr"/>
      <c r="I46" s="20" t="inlineStr">
        <is>
          <t>Rua São Francisco Xavier — Tijuca, Rio de Janeiro</t>
        </is>
      </c>
      <c r="J46" s="20">
        <f>HYPERLINK("https://www.google.com/maps/dir/?api=1&amp;origin=Rua+Uruguai%2C+351%2C+Tijuca%2C+Rio+de+Janeiro%2C+RJ&amp;destination=Rua+S%C3%A3o+Francisco+Xavier%2C+Tijuca%2C+Rio+de+Janeiro%2C+RJ&amp;travelmode=transit","🚌🚇 Abrir trajeto")</f>
        <v/>
      </c>
    </row>
    <row r="47">
      <c r="A47" s="20" t="inlineStr">
        <is>
          <t>Segunda-feira</t>
        </is>
      </c>
      <c r="B47" s="20" t="inlineStr">
        <is>
          <t>12/10/2026</t>
        </is>
      </c>
      <c r="C47" s="20" t="inlineStr">
        <is>
          <t>Zona Norte</t>
        </is>
      </c>
      <c r="D47" s="20" t="n">
        <v>9</v>
      </c>
      <c r="E47" s="20" t="n">
        <v>10</v>
      </c>
      <c r="F47" s="20" t="inlineStr">
        <is>
          <t>RETORNO</t>
        </is>
      </c>
      <c r="G47" s="20" t="inlineStr">
        <is>
          <t>Base</t>
        </is>
      </c>
      <c r="H47" s="20" t="inlineStr">
        <is>
          <t>Rio Comprido</t>
        </is>
      </c>
      <c r="I47" s="20" t="inlineStr">
        <is>
          <t>Rua Barão de Petrópolis, 572 — Rio Comprido, Rio de Janeiro</t>
        </is>
      </c>
      <c r="J47" s="20">
        <f>HYPERLINK("https://www.google.com/maps/dir/?api=1&amp;origin=Rua+S%C3%A3o+Francisco+Xavier%2C+Tijuca%2C+Rio+de+Janeiro%2C+RJ&amp;destination=Rua+Bar%C3%A3o+de+Petr%C3%B3polis%2C+572%2C+Rio+Comprido%2C+Rio+de+Janeiro%2C+RJ&amp;travelmode=transit","🏠 Voltar (transporte público)")</f>
        <v/>
      </c>
    </row>
    <row r="4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</row>
    <row r="49">
      <c r="A49" s="20" t="inlineStr">
        <is>
          <t>Terça-feira</t>
        </is>
      </c>
      <c r="B49" s="20" t="inlineStr">
        <is>
          <t>13/10/2026</t>
        </is>
      </c>
      <c r="C49" s="20" t="inlineStr">
        <is>
          <t>Zona Norte</t>
        </is>
      </c>
      <c r="D49" s="20" t="n">
        <v>6</v>
      </c>
      <c r="E49" s="20" t="n">
        <v>1</v>
      </c>
      <c r="F49" s="20" t="inlineStr">
        <is>
          <t>V16</t>
        </is>
      </c>
      <c r="G49" s="18" t="inlineStr">
        <is>
          <t>Drogaria Venancio</t>
        </is>
      </c>
      <c r="H49" s="20" t="inlineStr"/>
      <c r="I49" s="20" t="inlineStr">
        <is>
          <t>Rua Dias da Cruz, 336 — Méier, Rio de Janeiro</t>
        </is>
      </c>
      <c r="J49" s="20">
        <f>HYPERLINK("https://www.google.com/maps/dir/?api=1&amp;origin=Rua+Bar%C3%A3o+de+Petr%C3%B3polis%2C+572%2C+Rio+Comprido%2C+Rio+de+Janeiro%2C+RJ&amp;destination=Rua+Dias+da+Cruz%2C+336%2C+M%C3%A9ier%2C+Rio+de+Janeiro%2C+RJ&amp;travelmode=transit","🚌🚇 Abrir trajeto")</f>
        <v/>
      </c>
    </row>
    <row r="50">
      <c r="A50" s="20" t="inlineStr">
        <is>
          <t>Terça-feira</t>
        </is>
      </c>
      <c r="B50" s="20" t="inlineStr">
        <is>
          <t>13/10/2026</t>
        </is>
      </c>
      <c r="C50" s="20" t="inlineStr">
        <is>
          <t>Zona Norte</t>
        </is>
      </c>
      <c r="D50" s="20" t="n">
        <v>6</v>
      </c>
      <c r="E50" s="20" t="n">
        <v>2</v>
      </c>
      <c r="F50" s="20" t="inlineStr">
        <is>
          <t>V37</t>
        </is>
      </c>
      <c r="G50" s="18" t="inlineStr">
        <is>
          <t>Drogaria Venancio</t>
        </is>
      </c>
      <c r="H50" s="20" t="inlineStr"/>
      <c r="I50" s="20" t="inlineStr">
        <is>
          <t>Rua Dias da Cruz, 110/108 — Méier, Rio de Janeiro</t>
        </is>
      </c>
      <c r="J50" s="20">
        <f>HYPERLINK("https://www.google.com/maps/dir/?api=1&amp;origin=Rua+Dias+da+Cruz%2C+336%2C+M%C3%A9ier%2C+Rio+de+Janeiro%2C+RJ&amp;destination=Rua+Dias+da+Cruz%2C+110%2F108%2C+M%C3%A9ier%2C+Rio+de+Janeiro%2C+RJ&amp;travelmode=transit","🚌🚇 Abrir trajeto")</f>
        <v/>
      </c>
    </row>
    <row r="51">
      <c r="A51" s="20" t="inlineStr">
        <is>
          <t>Terça-feira</t>
        </is>
      </c>
      <c r="B51" s="20" t="inlineStr">
        <is>
          <t>13/10/2026</t>
        </is>
      </c>
      <c r="C51" s="20" t="inlineStr">
        <is>
          <t>Zona Norte</t>
        </is>
      </c>
      <c r="D51" s="20" t="n">
        <v>6</v>
      </c>
      <c r="E51" s="20" t="n">
        <v>3</v>
      </c>
      <c r="F51" s="20" t="inlineStr">
        <is>
          <t>V95</t>
        </is>
      </c>
      <c r="G51" s="18" t="inlineStr">
        <is>
          <t>Drogaria Venancio</t>
        </is>
      </c>
      <c r="H51" s="20" t="inlineStr"/>
      <c r="I51" s="20" t="inlineStr">
        <is>
          <t>Av. Dom Hélder Câmara, 5.273 — Cachambi, Rio de Janeiro</t>
        </is>
      </c>
      <c r="J51" s="20">
        <f>HYPERLINK("https://www.google.com/maps/dir/?api=1&amp;origin=Rua+Dias+da+Cruz%2C+110%2F108%2C+M%C3%A9ier%2C+Rio+de+Janeiro%2C+RJ&amp;destination=Av.+Dom+H%C3%A9lder+C%C3%A2mara%2C+5.273%2C+Cachambi%2C+Rio+de+Janeiro%2C+RJ&amp;travelmode=transit","🚌🚇 Abrir trajeto")</f>
        <v/>
      </c>
    </row>
    <row r="52">
      <c r="A52" s="20" t="inlineStr">
        <is>
          <t>Terça-feira</t>
        </is>
      </c>
      <c r="B52" s="20" t="inlineStr">
        <is>
          <t>13/10/2026</t>
        </is>
      </c>
      <c r="C52" s="20" t="inlineStr">
        <is>
          <t>Zona Norte</t>
        </is>
      </c>
      <c r="D52" s="20" t="n">
        <v>6</v>
      </c>
      <c r="E52" s="20" t="n">
        <v>4</v>
      </c>
      <c r="F52" s="20" t="inlineStr">
        <is>
          <t>V120</t>
        </is>
      </c>
      <c r="G52" s="18" t="inlineStr">
        <is>
          <t>Drogaria Venancio</t>
        </is>
      </c>
      <c r="H52" s="20" t="inlineStr"/>
      <c r="I52" s="20" t="inlineStr">
        <is>
          <t>Rua Dr. Bulhões, 956 — Engenho de Dentro, Rio de Janeiro</t>
        </is>
      </c>
      <c r="J52" s="20">
        <f>HYPERLINK("https://www.google.com/maps/dir/?api=1&amp;origin=Av.+Dom+H%C3%A9lder+C%C3%A2mara%2C+5.273%2C+Cachambi%2C+Rio+de+Janeiro%2C+RJ&amp;destination=Rua+Dr.+Bulh%C3%B5es%2C+956%2C+Engenho+de+Dentro%2C+Rio+de+Janeiro%2C+RJ&amp;travelmode=transit","🚌🚇 Abrir trajeto")</f>
        <v/>
      </c>
    </row>
    <row r="53">
      <c r="A53" s="20" t="inlineStr">
        <is>
          <t>Terça-feira</t>
        </is>
      </c>
      <c r="B53" s="20" t="inlineStr">
        <is>
          <t>13/10/2026</t>
        </is>
      </c>
      <c r="C53" s="20" t="inlineStr">
        <is>
          <t>Zona Norte</t>
        </is>
      </c>
      <c r="D53" s="20" t="n">
        <v>6</v>
      </c>
      <c r="E53" s="20" t="n">
        <v>5</v>
      </c>
      <c r="F53" s="20" t="inlineStr">
        <is>
          <t>V134</t>
        </is>
      </c>
      <c r="G53" s="18" t="inlineStr">
        <is>
          <t>Drogaria Venancio</t>
        </is>
      </c>
      <c r="H53" s="20" t="inlineStr"/>
      <c r="I53" s="20" t="inlineStr">
        <is>
          <t>Praça Edmundo Rego, 38 — Grajaú, Rio de Janeiro</t>
        </is>
      </c>
      <c r="J53" s="20">
        <f>HYPERLINK("https://www.google.com/maps/dir/?api=1&amp;origin=Rua+Dr.+Bulh%C3%B5es%2C+956%2C+Engenho+de+Dentro%2C+Rio+de+Janeiro%2C+RJ&amp;destination=Pra%C3%A7a+Edmundo+Rego%2C+38%2C+Graja%C3%BA%2C+Rio+de+Janeiro%2C+RJ&amp;travelmode=transit","🚌🚇 Abrir trajeto")</f>
        <v/>
      </c>
    </row>
    <row r="54">
      <c r="A54" s="20" t="inlineStr">
        <is>
          <t>Terça-feira</t>
        </is>
      </c>
      <c r="B54" s="20" t="inlineStr">
        <is>
          <t>13/10/2026</t>
        </is>
      </c>
      <c r="C54" s="20" t="inlineStr">
        <is>
          <t>Zona Norte</t>
        </is>
      </c>
      <c r="D54" s="20" t="n">
        <v>6</v>
      </c>
      <c r="E54" s="20" t="n">
        <v>6</v>
      </c>
      <c r="F54" s="20" t="inlineStr">
        <is>
          <t>V34</t>
        </is>
      </c>
      <c r="G54" s="18" t="inlineStr">
        <is>
          <t>Drogaria Venancio</t>
        </is>
      </c>
      <c r="H54" s="20" t="inlineStr"/>
      <c r="I54" s="20" t="inlineStr">
        <is>
          <t>Rua Barão de Mesquita, 1002 — Grajaú, Rio de Janeiro</t>
        </is>
      </c>
      <c r="J54" s="20">
        <f>HYPERLINK("https://www.google.com/maps/dir/?api=1&amp;origin=Pra%C3%A7a+Edmundo+Rego%2C+38%2C+Graja%C3%BA%2C+Rio+de+Janeiro%2C+RJ&amp;destination=Rua+Bar%C3%A3o+de+Mesquita%2C+1002%2C+Graja%C3%BA%2C+Rio+de+Janeiro%2C+RJ&amp;travelmode=transit","🚌🚇 Abrir trajeto")</f>
        <v/>
      </c>
    </row>
    <row r="55">
      <c r="A55" s="20" t="inlineStr">
        <is>
          <t>Terça-feira</t>
        </is>
      </c>
      <c r="B55" s="20" t="inlineStr">
        <is>
          <t>13/10/2026</t>
        </is>
      </c>
      <c r="C55" s="20" t="inlineStr">
        <is>
          <t>Zona Norte</t>
        </is>
      </c>
      <c r="D55" s="20" t="n">
        <v>6</v>
      </c>
      <c r="E55" s="20" t="n">
        <v>7</v>
      </c>
      <c r="F55" s="20" t="inlineStr">
        <is>
          <t>RETORNO</t>
        </is>
      </c>
      <c r="G55" s="20" t="inlineStr">
        <is>
          <t>Base</t>
        </is>
      </c>
      <c r="H55" s="20" t="inlineStr">
        <is>
          <t>Rio Comprido</t>
        </is>
      </c>
      <c r="I55" s="20" t="inlineStr">
        <is>
          <t>Rua Barão de Petrópolis, 572 — Rio Comprido, Rio de Janeiro</t>
        </is>
      </c>
      <c r="J55" s="20">
        <f>HYPERLINK("https://www.google.com/maps/dir/?api=1&amp;origin=Rua+Bar%C3%A3o+de+Mesquita%2C+1002%2C+Graja%C3%BA%2C+Rio+de+Janeiro%2C+RJ&amp;destination=Rua+Bar%C3%A3o+de+Petr%C3%B3polis%2C+572%2C+Rio+Comprido%2C+Rio+de+Janeiro%2C+RJ&amp;travelmode=transit","🏠 Voltar (transporte público)")</f>
        <v/>
      </c>
    </row>
    <row r="56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</row>
    <row r="57"/>
    <row r="58">
      <c r="A58" s="52" t="inlineStr">
        <is>
          <t>Como usar</t>
        </is>
      </c>
    </row>
    <row r="59" ht="38" customHeight="1">
      <c r="A59" s="29" t="inlineStr">
        <is>
          <t>Abra cada trecho na coluna Navegação. O Google Maps escolherá as combinações disponíveis de ônibus, metrô/trem e caminhada para aquele trecho. Ao terminar a loja, abra o próximo trecho. O último link retorna para a base.</t>
        </is>
      </c>
    </row>
    <row r="60"/>
  </sheetData>
  <mergeCells count="9">
    <mergeCell ref="A1:J1"/>
    <mergeCell ref="B3:J3"/>
    <mergeCell ref="A58:J58"/>
    <mergeCell ref="M3:O3"/>
    <mergeCell ref="L12:O12"/>
    <mergeCell ref="A59:J60"/>
    <mergeCell ref="L1:O1"/>
    <mergeCell ref="M2:O2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6B9A"/>
    <outlinePr summaryBelow="1" summaryRight="1"/>
    <pageSetUpPr fitToPage="1"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0" customWidth="1" min="5" max="5"/>
    <col width="22" customWidth="1" min="6" max="6"/>
    <col width="12" customWidth="1" min="7" max="7"/>
    <col width="28" customWidth="1" min="8" max="8"/>
    <col width="40" customWidth="1" min="9" max="9"/>
    <col width="22" customWidth="1" min="10" max="10"/>
    <col width="18" customWidth="1" min="11" max="11"/>
    <col width="42" customWidth="1" min="12" max="12"/>
    <col width="22" customWidth="1" min="13" max="13"/>
  </cols>
  <sheetData>
    <row r="1" ht="30" customHeight="1">
      <c r="A1" s="15" t="inlineStr">
        <is>
          <t>Mês</t>
        </is>
      </c>
      <c r="B1" s="15" t="inlineStr">
        <is>
          <t>Semana</t>
        </is>
      </c>
      <c r="C1" s="15" t="inlineStr">
        <is>
          <t>Data</t>
        </is>
      </c>
      <c r="D1" s="15" t="inlineStr">
        <is>
          <t>Dia da semana</t>
        </is>
      </c>
      <c r="E1" s="15" t="inlineStr">
        <is>
          <t>Região</t>
        </is>
      </c>
      <c r="F1" s="15" t="inlineStr">
        <is>
          <t>Rede</t>
        </is>
      </c>
      <c r="G1" s="15" t="inlineStr">
        <is>
          <t>Código</t>
        </is>
      </c>
      <c r="H1" s="15" t="inlineStr">
        <is>
          <t>Unidade / Loja</t>
        </is>
      </c>
      <c r="I1" s="15" t="inlineStr">
        <is>
          <t>Endereço</t>
        </is>
      </c>
      <c r="J1" s="15" t="inlineStr">
        <is>
          <t>Bairro</t>
        </is>
      </c>
      <c r="K1" s="15" t="inlineStr">
        <is>
          <t>Status</t>
        </is>
      </c>
      <c r="L1" s="15" t="inlineStr">
        <is>
          <t>Observações</t>
        </is>
      </c>
      <c r="M1" s="15" t="inlineStr">
        <is>
          <t>Google Maps</t>
        </is>
      </c>
    </row>
    <row r="2">
      <c r="A2" s="16">
        <f>IF(C2="","",TEXT(C2,"mmmm"))</f>
        <v/>
      </c>
      <c r="B2" s="16" t="inlineStr">
        <is>
          <t>Semana 2</t>
        </is>
      </c>
      <c r="C2" s="34" t="n">
        <v>46307</v>
      </c>
      <c r="D2" s="16">
        <f>IF(C2="","",TEXT(C2,"dddd"))</f>
        <v/>
      </c>
      <c r="E2" s="16" t="inlineStr">
        <is>
          <t>Zona Norte</t>
        </is>
      </c>
      <c r="F2" s="18">
        <f>IF(G2&lt;&gt;"",IF(LEFT(UPPER(TRIM(G2)),1)="V","Drogaria Venancio",""),IF(H2&lt;&gt;"","Cristal",""))</f>
        <v/>
      </c>
      <c r="G2" s="16" t="inlineStr">
        <is>
          <t>V9</t>
        </is>
      </c>
      <c r="H2" s="16" t="inlineStr"/>
      <c r="I2" s="16" t="inlineStr">
        <is>
          <t>Rua General Roca, 836</t>
        </is>
      </c>
      <c r="J2" s="16" t="inlineStr">
        <is>
          <t>Tijuca</t>
        </is>
      </c>
      <c r="K2" s="16" t="inlineStr">
        <is>
          <t>Pendente</t>
        </is>
      </c>
      <c r="L2" s="16" t="inlineStr"/>
      <c r="M2" s="35">
        <f>IF(I2="","",HYPERLINK("https://www.google.com/maps/search/?api=1&amp;query="&amp;SUBSTITUTE(I2&amp;", "&amp;J2&amp;", Rio de Janeiro"," ","+"),"Abrir no Maps"))</f>
        <v/>
      </c>
    </row>
    <row r="3">
      <c r="A3" s="20">
        <f>IF(C3="","",TEXT(C3,"mmmm"))</f>
        <v/>
      </c>
      <c r="B3" s="20" t="inlineStr">
        <is>
          <t>Semana 2</t>
        </is>
      </c>
      <c r="C3" s="36" t="n">
        <v>46307</v>
      </c>
      <c r="D3" s="20">
        <f>IF(C3="","",TEXT(C3,"dddd"))</f>
        <v/>
      </c>
      <c r="E3" s="20" t="inlineStr">
        <is>
          <t>Zona Norte</t>
        </is>
      </c>
      <c r="F3" s="18">
        <f>IF(G3&lt;&gt;"",IF(LEFT(UPPER(TRIM(G3)),1)="V","Drogaria Venancio",""),IF(H3&lt;&gt;"","Cristal",""))</f>
        <v/>
      </c>
      <c r="G3" s="20" t="inlineStr">
        <is>
          <t>V72</t>
        </is>
      </c>
      <c r="H3" s="20" t="inlineStr"/>
      <c r="I3" s="20" t="inlineStr">
        <is>
          <t>Av. Maracanã, 834</t>
        </is>
      </c>
      <c r="J3" s="20" t="inlineStr">
        <is>
          <t>Tijuca</t>
        </is>
      </c>
      <c r="K3" s="20" t="inlineStr">
        <is>
          <t>Pendente</t>
        </is>
      </c>
      <c r="L3" s="20" t="inlineStr"/>
      <c r="M3" s="37">
        <f>IF(I3="","",HYPERLINK("https://www.google.com/maps/search/?api=1&amp;query="&amp;SUBSTITUTE(I3&amp;", "&amp;J3&amp;", Rio de Janeiro"," ","+"),"Abrir no Maps"))</f>
        <v/>
      </c>
    </row>
    <row r="4">
      <c r="A4" s="16">
        <f>IF(C4="","",TEXT(C4,"mmmm"))</f>
        <v/>
      </c>
      <c r="B4" s="16" t="inlineStr">
        <is>
          <t>Semana 2</t>
        </is>
      </c>
      <c r="C4" s="34" t="n">
        <v>46307</v>
      </c>
      <c r="D4" s="16">
        <f>IF(C4="","",TEXT(C4,"dddd"))</f>
        <v/>
      </c>
      <c r="E4" s="16" t="inlineStr">
        <is>
          <t>Zona Norte</t>
        </is>
      </c>
      <c r="F4" s="18">
        <f>IF(G4&lt;&gt;"",IF(LEFT(UPPER(TRIM(G4)),1)="V","Drogaria Venancio",""),IF(H4&lt;&gt;"","Cristal",""))</f>
        <v/>
      </c>
      <c r="G4" s="16" t="inlineStr">
        <is>
          <t>V100</t>
        </is>
      </c>
      <c r="H4" s="16" t="inlineStr"/>
      <c r="I4" s="16" t="inlineStr">
        <is>
          <t>Rua Conde de Bonfim, 372</t>
        </is>
      </c>
      <c r="J4" s="16" t="inlineStr">
        <is>
          <t>Tijuca</t>
        </is>
      </c>
      <c r="K4" s="16" t="inlineStr">
        <is>
          <t>Pendente</t>
        </is>
      </c>
      <c r="L4" s="16" t="inlineStr"/>
      <c r="M4" s="35">
        <f>IF(I4="","",HYPERLINK("https://www.google.com/maps/search/?api=1&amp;query="&amp;SUBSTITUTE(I4&amp;", "&amp;J4&amp;", Rio de Janeiro"," ","+"),"Abrir no Maps"))</f>
        <v/>
      </c>
    </row>
    <row r="5">
      <c r="A5" s="20">
        <f>IF(C5="","",TEXT(C5,"mmmm"))</f>
        <v/>
      </c>
      <c r="B5" s="20" t="inlineStr">
        <is>
          <t>Semana 2</t>
        </is>
      </c>
      <c r="C5" s="36" t="n">
        <v>46307</v>
      </c>
      <c r="D5" s="20">
        <f>IF(C5="","",TEXT(C5,"dddd"))</f>
        <v/>
      </c>
      <c r="E5" s="20" t="inlineStr">
        <is>
          <t>Zona Norte</t>
        </is>
      </c>
      <c r="F5" s="18">
        <f>IF(G5&lt;&gt;"",IF(LEFT(UPPER(TRIM(G5)),1)="V","Drogaria Venancio",""),IF(H5&lt;&gt;"","Cristal",""))</f>
        <v/>
      </c>
      <c r="G5" s="20" t="inlineStr">
        <is>
          <t>V7</t>
        </is>
      </c>
      <c r="H5" s="20" t="inlineStr"/>
      <c r="I5" s="20" t="inlineStr">
        <is>
          <t>Rua Conde de Bonfim, 340</t>
        </is>
      </c>
      <c r="J5" s="20" t="inlineStr">
        <is>
          <t>Tijuca</t>
        </is>
      </c>
      <c r="K5" s="20" t="inlineStr">
        <is>
          <t>Pendente</t>
        </is>
      </c>
      <c r="L5" s="20" t="inlineStr"/>
      <c r="M5" s="37">
        <f>IF(I5="","",HYPERLINK("https://www.google.com/maps/search/?api=1&amp;query="&amp;SUBSTITUTE(I5&amp;", "&amp;J5&amp;", Rio de Janeiro"," ","+"),"Abrir no Maps"))</f>
        <v/>
      </c>
    </row>
    <row r="6">
      <c r="A6" s="16">
        <f>IF(C6="","",TEXT(C6,"mmmm"))</f>
        <v/>
      </c>
      <c r="B6" s="16" t="inlineStr">
        <is>
          <t>Semana 2</t>
        </is>
      </c>
      <c r="C6" s="34" t="n">
        <v>46307</v>
      </c>
      <c r="D6" s="16">
        <f>IF(C6="","",TEXT(C6,"dddd"))</f>
        <v/>
      </c>
      <c r="E6" s="16" t="inlineStr">
        <is>
          <t>Zona Norte</t>
        </is>
      </c>
      <c r="F6" s="18">
        <f>IF(G6&lt;&gt;"",IF(LEFT(UPPER(TRIM(G6)),1)="V","Drogaria Venancio",""),IF(H6&lt;&gt;"","Cristal",""))</f>
        <v/>
      </c>
      <c r="G6" s="16" t="inlineStr">
        <is>
          <t>V126</t>
        </is>
      </c>
      <c r="H6" s="16" t="inlineStr"/>
      <c r="I6" s="16" t="inlineStr">
        <is>
          <t>Rua Barão de Mesquita, 35</t>
        </is>
      </c>
      <c r="J6" s="16" t="inlineStr">
        <is>
          <t>Tijuca</t>
        </is>
      </c>
      <c r="K6" s="16" t="inlineStr">
        <is>
          <t>Pendente</t>
        </is>
      </c>
      <c r="L6" s="16" t="inlineStr"/>
      <c r="M6" s="35">
        <f>IF(I6="","",HYPERLINK("https://www.google.com/maps/search/?api=1&amp;query="&amp;SUBSTITUTE(I6&amp;", "&amp;J6&amp;", Rio de Janeiro"," ","+"),"Abrir no Maps"))</f>
        <v/>
      </c>
    </row>
    <row r="7">
      <c r="A7" s="20">
        <f>IF(C7="","",TEXT(C7,"mmmm"))</f>
        <v/>
      </c>
      <c r="B7" s="20" t="inlineStr">
        <is>
          <t>Semana 2</t>
        </is>
      </c>
      <c r="C7" s="36" t="n">
        <v>46307</v>
      </c>
      <c r="D7" s="20">
        <f>IF(C7="","",TEXT(C7,"dddd"))</f>
        <v/>
      </c>
      <c r="E7" s="20" t="inlineStr">
        <is>
          <t>Zona Norte</t>
        </is>
      </c>
      <c r="F7" s="18">
        <f>IF(G7&lt;&gt;"",IF(LEFT(UPPER(TRIM(G7)),1)="V","Drogaria Venancio",""),IF(H7&lt;&gt;"","Cristal",""))</f>
        <v/>
      </c>
      <c r="G7" s="20" t="inlineStr">
        <is>
          <t>V127</t>
        </is>
      </c>
      <c r="H7" s="20" t="inlineStr"/>
      <c r="I7" s="20" t="inlineStr">
        <is>
          <t>Rua São Francisco Xavier</t>
        </is>
      </c>
      <c r="J7" s="20" t="inlineStr">
        <is>
          <t>Tijuca</t>
        </is>
      </c>
      <c r="K7" s="20" t="inlineStr">
        <is>
          <t>Pendente</t>
        </is>
      </c>
      <c r="L7" s="20" t="inlineStr"/>
      <c r="M7" s="37">
        <f>IF(I7="","",HYPERLINK("https://www.google.com/maps/search/?api=1&amp;query="&amp;SUBSTITUTE(I7&amp;", "&amp;J7&amp;", Rio de Janeiro"," ","+"),"Abrir no Maps"))</f>
        <v/>
      </c>
    </row>
    <row r="8">
      <c r="A8" s="16">
        <f>IF(C8="","",TEXT(C8,"mmmm"))</f>
        <v/>
      </c>
      <c r="B8" s="16" t="inlineStr">
        <is>
          <t>Semana 2</t>
        </is>
      </c>
      <c r="C8" s="34" t="n">
        <v>46307</v>
      </c>
      <c r="D8" s="16">
        <f>IF(C8="","",TEXT(C8,"dddd"))</f>
        <v/>
      </c>
      <c r="E8" s="16" t="inlineStr">
        <is>
          <t>Zona Norte</t>
        </is>
      </c>
      <c r="F8" s="18">
        <f>IF(G8&lt;&gt;"",IF(LEFT(UPPER(TRIM(G8)),1)="V","Drogaria Venancio",""),IF(H8&lt;&gt;"","Cristal",""))</f>
        <v/>
      </c>
      <c r="G8" s="16" t="inlineStr">
        <is>
          <t>V116</t>
        </is>
      </c>
      <c r="H8" s="16" t="inlineStr"/>
      <c r="I8" s="16" t="inlineStr">
        <is>
          <t>Rua Haddock Lobo, 360</t>
        </is>
      </c>
      <c r="J8" s="16" t="inlineStr">
        <is>
          <t>Tijuca</t>
        </is>
      </c>
      <c r="K8" s="16" t="inlineStr">
        <is>
          <t>Pendente</t>
        </is>
      </c>
      <c r="L8" s="16" t="inlineStr"/>
      <c r="M8" s="35">
        <f>IF(I8="","",HYPERLINK("https://www.google.com/maps/search/?api=1&amp;query="&amp;SUBSTITUTE(I8&amp;", "&amp;J8&amp;", Rio de Janeiro"," ","+"),"Abrir no Maps"))</f>
        <v/>
      </c>
    </row>
    <row r="9">
      <c r="A9" s="20">
        <f>IF(C9="","",TEXT(C9,"mmmm"))</f>
        <v/>
      </c>
      <c r="B9" s="20" t="inlineStr">
        <is>
          <t>Semana 2</t>
        </is>
      </c>
      <c r="C9" s="36" t="n">
        <v>46307</v>
      </c>
      <c r="D9" s="20">
        <f>IF(C9="","",TEXT(C9,"dddd"))</f>
        <v/>
      </c>
      <c r="E9" s="20" t="inlineStr">
        <is>
          <t>Zona Norte</t>
        </is>
      </c>
      <c r="F9" s="18">
        <f>IF(G9&lt;&gt;"",IF(LEFT(UPPER(TRIM(G9)),1)="V","Drogaria Venancio",""),IF(H9&lt;&gt;"","Cristal",""))</f>
        <v/>
      </c>
      <c r="G9" s="20" t="inlineStr">
        <is>
          <t>V133</t>
        </is>
      </c>
      <c r="H9" s="20" t="inlineStr"/>
      <c r="I9" s="20" t="inlineStr">
        <is>
          <t>Rua Uruguai, 351</t>
        </is>
      </c>
      <c r="J9" s="20" t="inlineStr">
        <is>
          <t>Tijuca</t>
        </is>
      </c>
      <c r="K9" s="20" t="inlineStr">
        <is>
          <t>Pendente</t>
        </is>
      </c>
      <c r="L9" s="20" t="inlineStr"/>
      <c r="M9" s="37">
        <f>IF(I9="","",HYPERLINK("https://www.google.com/maps/search/?api=1&amp;query="&amp;SUBSTITUTE(I9&amp;", "&amp;J9&amp;", Rio de Janeiro"," ","+"),"Abrir no Maps"))</f>
        <v/>
      </c>
    </row>
    <row r="10">
      <c r="A10" s="16">
        <f>IF(C10="","",TEXT(C10,"mmmm"))</f>
        <v/>
      </c>
      <c r="B10" s="16" t="inlineStr">
        <is>
          <t>Semana 2</t>
        </is>
      </c>
      <c r="C10" s="34" t="n">
        <v>46307</v>
      </c>
      <c r="D10" s="16">
        <f>IF(C10="","",TEXT(C10,"dddd"))</f>
        <v/>
      </c>
      <c r="E10" s="16" t="inlineStr">
        <is>
          <t>Zona Norte</t>
        </is>
      </c>
      <c r="F10" s="18">
        <f>IF(G10&lt;&gt;"",IF(LEFT(UPPER(TRIM(G10)),1)="V","Drogaria Venancio",""),IF(H10&lt;&gt;"","Cristal",""))</f>
        <v/>
      </c>
      <c r="G10" s="16" t="inlineStr">
        <is>
          <t>V136</t>
        </is>
      </c>
      <c r="H10" s="16" t="inlineStr"/>
      <c r="I10" s="16" t="inlineStr">
        <is>
          <t>Rua Conde de Bonfim, 532</t>
        </is>
      </c>
      <c r="J10" s="16" t="inlineStr">
        <is>
          <t>Tijuca</t>
        </is>
      </c>
      <c r="K10" s="16" t="inlineStr">
        <is>
          <t>Pendente</t>
        </is>
      </c>
      <c r="L10" s="16" t="inlineStr"/>
      <c r="M10" s="35">
        <f>IF(I10="","",HYPERLINK("https://www.google.com/maps/search/?api=1&amp;query="&amp;SUBSTITUTE(I10&amp;", "&amp;J10&amp;", Rio de Janeiro"," ","+"),"Abrir no Maps"))</f>
        <v/>
      </c>
    </row>
    <row r="11">
      <c r="A11" s="20">
        <f>IF(C11="","",TEXT(C11,"mmmm"))</f>
        <v/>
      </c>
      <c r="B11" s="20" t="inlineStr">
        <is>
          <t>Semana 2</t>
        </is>
      </c>
      <c r="C11" s="36" t="n">
        <v>46308</v>
      </c>
      <c r="D11" s="20">
        <f>IF(C11="","",TEXT(C11,"dddd"))</f>
        <v/>
      </c>
      <c r="E11" s="20" t="inlineStr">
        <is>
          <t>Zona Norte</t>
        </is>
      </c>
      <c r="F11" s="18">
        <f>IF(G11&lt;&gt;"",IF(LEFT(UPPER(TRIM(G11)),1)="V","Drogaria Venancio",""),IF(H11&lt;&gt;"","Cristal",""))</f>
        <v/>
      </c>
      <c r="G11" s="20" t="inlineStr">
        <is>
          <t>V37</t>
        </is>
      </c>
      <c r="H11" s="20" t="inlineStr"/>
      <c r="I11" s="20" t="inlineStr">
        <is>
          <t>Rua Dias da Cruz, 110/108</t>
        </is>
      </c>
      <c r="J11" s="20" t="inlineStr">
        <is>
          <t>Méier</t>
        </is>
      </c>
      <c r="K11" s="20" t="inlineStr">
        <is>
          <t>Pendente</t>
        </is>
      </c>
      <c r="L11" s="20" t="inlineStr"/>
      <c r="M11" s="37">
        <f>IF(I11="","",HYPERLINK("https://www.google.com/maps/search/?api=1&amp;query="&amp;SUBSTITUTE(I11&amp;", "&amp;J11&amp;", Rio de Janeiro"," ","+"),"Abrir no Maps"))</f>
        <v/>
      </c>
    </row>
    <row r="12">
      <c r="A12" s="16">
        <f>IF(C12="","",TEXT(C12,"mmmm"))</f>
        <v/>
      </c>
      <c r="B12" s="16" t="inlineStr">
        <is>
          <t>Semana 2</t>
        </is>
      </c>
      <c r="C12" s="34" t="n">
        <v>46308</v>
      </c>
      <c r="D12" s="16">
        <f>IF(C12="","",TEXT(C12,"dddd"))</f>
        <v/>
      </c>
      <c r="E12" s="16" t="inlineStr">
        <is>
          <t>Zona Norte</t>
        </is>
      </c>
      <c r="F12" s="18">
        <f>IF(G12&lt;&gt;"",IF(LEFT(UPPER(TRIM(G12)),1)="V","Drogaria Venancio",""),IF(H12&lt;&gt;"","Cristal",""))</f>
        <v/>
      </c>
      <c r="G12" s="16" t="inlineStr">
        <is>
          <t>V16</t>
        </is>
      </c>
      <c r="H12" s="16" t="inlineStr"/>
      <c r="I12" s="16" t="inlineStr">
        <is>
          <t>Rua Dias da Cruz, 336</t>
        </is>
      </c>
      <c r="J12" s="16" t="inlineStr">
        <is>
          <t>Méier</t>
        </is>
      </c>
      <c r="K12" s="16" t="inlineStr">
        <is>
          <t>Pendente</t>
        </is>
      </c>
      <c r="L12" s="16" t="inlineStr"/>
      <c r="M12" s="35">
        <f>IF(I12="","",HYPERLINK("https://www.google.com/maps/search/?api=1&amp;query="&amp;SUBSTITUTE(I12&amp;", "&amp;J12&amp;", Rio de Janeiro"," ","+"),"Abrir no Maps"))</f>
        <v/>
      </c>
    </row>
    <row r="13">
      <c r="A13" s="20">
        <f>IF(C13="","",TEXT(C13,"mmmm"))</f>
        <v/>
      </c>
      <c r="B13" s="20" t="inlineStr">
        <is>
          <t>Semana 2</t>
        </is>
      </c>
      <c r="C13" s="36" t="n">
        <v>46308</v>
      </c>
      <c r="D13" s="20">
        <f>IF(C13="","",TEXT(C13,"dddd"))</f>
        <v/>
      </c>
      <c r="E13" s="20" t="inlineStr">
        <is>
          <t>Zona Norte</t>
        </is>
      </c>
      <c r="F13" s="18">
        <f>IF(G13&lt;&gt;"",IF(LEFT(UPPER(TRIM(G13)),1)="V","Drogaria Venancio",""),IF(H13&lt;&gt;"","Cristal",""))</f>
        <v/>
      </c>
      <c r="G13" s="20" t="inlineStr">
        <is>
          <t>V95</t>
        </is>
      </c>
      <c r="H13" s="20" t="inlineStr"/>
      <c r="I13" s="20" t="inlineStr">
        <is>
          <t>Av. Dom Hélder Câmara, 5.273</t>
        </is>
      </c>
      <c r="J13" s="20" t="inlineStr">
        <is>
          <t>Cachambi</t>
        </is>
      </c>
      <c r="K13" s="20" t="inlineStr">
        <is>
          <t>Pendente</t>
        </is>
      </c>
      <c r="L13" s="20" t="inlineStr"/>
      <c r="M13" s="37">
        <f>IF(I13="","",HYPERLINK("https://www.google.com/maps/search/?api=1&amp;query="&amp;SUBSTITUTE(I13&amp;", "&amp;J13&amp;", Rio de Janeiro"," ","+"),"Abrir no Maps"))</f>
        <v/>
      </c>
    </row>
    <row r="14">
      <c r="A14" s="16">
        <f>IF(C14="","",TEXT(C14,"mmmm"))</f>
        <v/>
      </c>
      <c r="B14" s="16" t="inlineStr">
        <is>
          <t>Semana 2</t>
        </is>
      </c>
      <c r="C14" s="34" t="n">
        <v>46308</v>
      </c>
      <c r="D14" s="16">
        <f>IF(C14="","",TEXT(C14,"dddd"))</f>
        <v/>
      </c>
      <c r="E14" s="16" t="inlineStr">
        <is>
          <t>Zona Norte</t>
        </is>
      </c>
      <c r="F14" s="18">
        <f>IF(G14&lt;&gt;"",IF(LEFT(UPPER(TRIM(G14)),1)="V","Drogaria Venancio",""),IF(H14&lt;&gt;"","Cristal",""))</f>
        <v/>
      </c>
      <c r="G14" s="16" t="inlineStr">
        <is>
          <t>V120</t>
        </is>
      </c>
      <c r="H14" s="16" t="inlineStr"/>
      <c r="I14" s="16" t="inlineStr">
        <is>
          <t>Rua Dr. Bulhões, 956</t>
        </is>
      </c>
      <c r="J14" s="16" t="inlineStr">
        <is>
          <t>Engenho de Dentro</t>
        </is>
      </c>
      <c r="K14" s="16" t="inlineStr">
        <is>
          <t>Pendente</t>
        </is>
      </c>
      <c r="L14" s="16" t="inlineStr"/>
      <c r="M14" s="35">
        <f>IF(I14="","",HYPERLINK("https://www.google.com/maps/search/?api=1&amp;query="&amp;SUBSTITUTE(I14&amp;", "&amp;J14&amp;", Rio de Janeiro"," ","+"),"Abrir no Maps"))</f>
        <v/>
      </c>
    </row>
    <row r="15">
      <c r="A15" s="20">
        <f>IF(C15="","",TEXT(C15,"mmmm"))</f>
        <v/>
      </c>
      <c r="B15" s="20" t="inlineStr">
        <is>
          <t>Semana 2</t>
        </is>
      </c>
      <c r="C15" s="36" t="n">
        <v>46308</v>
      </c>
      <c r="D15" s="20">
        <f>IF(C15="","",TEXT(C15,"dddd"))</f>
        <v/>
      </c>
      <c r="E15" s="20" t="inlineStr">
        <is>
          <t>Zona Norte</t>
        </is>
      </c>
      <c r="F15" s="18">
        <f>IF(G15&lt;&gt;"",IF(LEFT(UPPER(TRIM(G15)),1)="V","Drogaria Venancio",""),IF(H15&lt;&gt;"","Cristal",""))</f>
        <v/>
      </c>
      <c r="G15" s="20" t="inlineStr">
        <is>
          <t>V134</t>
        </is>
      </c>
      <c r="H15" s="20" t="inlineStr"/>
      <c r="I15" s="20" t="inlineStr">
        <is>
          <t>Praça Edmundo Rego, 38</t>
        </is>
      </c>
      <c r="J15" s="20" t="inlineStr">
        <is>
          <t>Grajaú</t>
        </is>
      </c>
      <c r="K15" s="20" t="inlineStr">
        <is>
          <t>Pendente</t>
        </is>
      </c>
      <c r="L15" s="20" t="inlineStr"/>
      <c r="M15" s="37">
        <f>IF(I15="","",HYPERLINK("https://www.google.com/maps/search/?api=1&amp;query="&amp;SUBSTITUTE(I15&amp;", "&amp;J15&amp;", Rio de Janeiro"," ","+"),"Abrir no Maps"))</f>
        <v/>
      </c>
    </row>
    <row r="16">
      <c r="A16" s="16">
        <f>IF(C16="","",TEXT(C16,"mmmm"))</f>
        <v/>
      </c>
      <c r="B16" s="16" t="inlineStr">
        <is>
          <t>Semana 2</t>
        </is>
      </c>
      <c r="C16" s="34" t="n">
        <v>46308</v>
      </c>
      <c r="D16" s="16">
        <f>IF(C16="","",TEXT(C16,"dddd"))</f>
        <v/>
      </c>
      <c r="E16" s="16" t="inlineStr">
        <is>
          <t>Zona Norte</t>
        </is>
      </c>
      <c r="F16" s="18">
        <f>IF(G16&lt;&gt;"",IF(LEFT(UPPER(TRIM(G16)),1)="V","Drogaria Venancio",""),IF(H16&lt;&gt;"","Cristal",""))</f>
        <v/>
      </c>
      <c r="G16" s="16" t="inlineStr">
        <is>
          <t>V34</t>
        </is>
      </c>
      <c r="H16" s="16" t="inlineStr"/>
      <c r="I16" s="16" t="inlineStr">
        <is>
          <t>Rua Barão de Mesquita, 1002</t>
        </is>
      </c>
      <c r="J16" s="16" t="inlineStr">
        <is>
          <t>Grajaú</t>
        </is>
      </c>
      <c r="K16" s="16" t="inlineStr">
        <is>
          <t>Pendente</t>
        </is>
      </c>
      <c r="L16" s="16" t="inlineStr"/>
      <c r="M16" s="35">
        <f>IF(I16="","",HYPERLINK("https://www.google.com/maps/search/?api=1&amp;query="&amp;SUBSTITUTE(I16&amp;", "&amp;J16&amp;", Rio de Janeiro"," ","+"),"Abrir no Maps"))</f>
        <v/>
      </c>
    </row>
    <row r="17">
      <c r="A17" s="20">
        <f>IF(C17="","",TEXT(C17,"mmmm"))</f>
        <v/>
      </c>
      <c r="B17" s="20" t="inlineStr">
        <is>
          <t>Semana 1</t>
        </is>
      </c>
      <c r="C17" s="36" t="n">
        <v>46302</v>
      </c>
      <c r="D17" s="20">
        <f>IF(C17="","",TEXT(C17,"dddd"))</f>
        <v/>
      </c>
      <c r="E17" s="20" t="inlineStr">
        <is>
          <t>Zona Sul</t>
        </is>
      </c>
      <c r="F17" s="18">
        <f>IF(G17&lt;&gt;"",IF(LEFT(UPPER(TRIM(G17)),1)="V","Drogaria Venancio",""),IF(H17&lt;&gt;"","Cristal",""))</f>
        <v/>
      </c>
      <c r="G17" s="20" t="inlineStr">
        <is>
          <t>V38</t>
        </is>
      </c>
      <c r="H17" s="20" t="inlineStr"/>
      <c r="I17" s="20" t="inlineStr">
        <is>
          <t>Av. Nossa Sra. de Copacabana, 791-793, loja A</t>
        </is>
      </c>
      <c r="J17" s="20" t="inlineStr">
        <is>
          <t>Copacabana</t>
        </is>
      </c>
      <c r="K17" s="20" t="inlineStr">
        <is>
          <t>Pendente</t>
        </is>
      </c>
      <c r="L17" s="20" t="inlineStr"/>
      <c r="M17" s="37">
        <f>IF(I17="","",HYPERLINK("https://www.google.com/maps/search/?api=1&amp;query="&amp;SUBSTITUTE(I17&amp;", "&amp;J17&amp;", Rio de Janeiro"," ","+"),"Abrir no Maps"))</f>
        <v/>
      </c>
    </row>
    <row r="18">
      <c r="A18" s="16">
        <f>IF(C18="","",TEXT(C18,"mmmm"))</f>
        <v/>
      </c>
      <c r="B18" s="16" t="inlineStr">
        <is>
          <t>Semana 1</t>
        </is>
      </c>
      <c r="C18" s="34" t="n">
        <v>46302</v>
      </c>
      <c r="D18" s="16">
        <f>IF(C18="","",TEXT(C18,"dddd"))</f>
        <v/>
      </c>
      <c r="E18" s="16" t="inlineStr">
        <is>
          <t>Zona Sul</t>
        </is>
      </c>
      <c r="F18" s="18">
        <f>IF(G18&lt;&gt;"",IF(LEFT(UPPER(TRIM(G18)),1)="V","Drogaria Venancio",""),IF(H18&lt;&gt;"","Cristal",""))</f>
        <v/>
      </c>
      <c r="G18" s="16" t="inlineStr">
        <is>
          <t>V65</t>
        </is>
      </c>
      <c r="H18" s="16" t="inlineStr"/>
      <c r="I18" s="16" t="inlineStr">
        <is>
          <t>Rua Siqueira Campos, 107</t>
        </is>
      </c>
      <c r="J18" s="16" t="inlineStr">
        <is>
          <t>Copacabana</t>
        </is>
      </c>
      <c r="K18" s="16" t="inlineStr">
        <is>
          <t>Pendente</t>
        </is>
      </c>
      <c r="L18" s="16" t="inlineStr"/>
      <c r="M18" s="35">
        <f>IF(I18="","",HYPERLINK("https://www.google.com/maps/search/?api=1&amp;query="&amp;SUBSTITUTE(I18&amp;", "&amp;J18&amp;", Rio de Janeiro"," ","+"),"Abrir no Maps"))</f>
        <v/>
      </c>
    </row>
    <row r="19">
      <c r="A19" s="20">
        <f>IF(C19="","",TEXT(C19,"mmmm"))</f>
        <v/>
      </c>
      <c r="B19" s="20" t="inlineStr">
        <is>
          <t>Semana 1</t>
        </is>
      </c>
      <c r="C19" s="36" t="n">
        <v>46302</v>
      </c>
      <c r="D19" s="20">
        <f>IF(C19="","",TEXT(C19,"dddd"))</f>
        <v/>
      </c>
      <c r="E19" s="20" t="inlineStr">
        <is>
          <t>Zona Sul</t>
        </is>
      </c>
      <c r="F19" s="18">
        <f>IF(G19&lt;&gt;"",IF(LEFT(UPPER(TRIM(G19)),1)="V","Drogaria Venancio",""),IF(H19&lt;&gt;"","Cristal",""))</f>
        <v/>
      </c>
      <c r="G19" s="20" t="inlineStr">
        <is>
          <t>V140</t>
        </is>
      </c>
      <c r="H19" s="20" t="inlineStr"/>
      <c r="I19" s="20" t="inlineStr">
        <is>
          <t>Av. Nossa Sra. de Copacabana, 619</t>
        </is>
      </c>
      <c r="J19" s="20" t="inlineStr">
        <is>
          <t>Copacabana</t>
        </is>
      </c>
      <c r="K19" s="20" t="inlineStr">
        <is>
          <t>Pendente</t>
        </is>
      </c>
      <c r="L19" s="20" t="inlineStr"/>
      <c r="M19" s="37">
        <f>IF(I19="","",HYPERLINK("https://www.google.com/maps/search/?api=1&amp;query="&amp;SUBSTITUTE(I19&amp;", "&amp;J19&amp;", Rio de Janeiro"," ","+"),"Abrir no Maps"))</f>
        <v/>
      </c>
    </row>
    <row r="20">
      <c r="A20" s="16">
        <f>IF(C20="","",TEXT(C20,"mmmm"))</f>
        <v/>
      </c>
      <c r="B20" s="16" t="inlineStr">
        <is>
          <t>Semana 1</t>
        </is>
      </c>
      <c r="C20" s="34" t="n">
        <v>46302</v>
      </c>
      <c r="D20" s="16">
        <f>IF(C20="","",TEXT(C20,"dddd"))</f>
        <v/>
      </c>
      <c r="E20" s="16" t="inlineStr">
        <is>
          <t>Zona Sul</t>
        </is>
      </c>
      <c r="F20" s="18">
        <f>IF(G20&lt;&gt;"",IF(LEFT(UPPER(TRIM(G20)),1)="V","Drogaria Venancio",""),IF(H20&lt;&gt;"","Cristal",""))</f>
        <v/>
      </c>
      <c r="G20" s="16" t="inlineStr">
        <is>
          <t>V47</t>
        </is>
      </c>
      <c r="H20" s="16" t="inlineStr"/>
      <c r="I20" s="16" t="inlineStr">
        <is>
          <t>Av. Nossa Sra. de Copacabana, 872</t>
        </is>
      </c>
      <c r="J20" s="16" t="inlineStr">
        <is>
          <t>Copacabana</t>
        </is>
      </c>
      <c r="K20" s="16" t="inlineStr">
        <is>
          <t>Pendente</t>
        </is>
      </c>
      <c r="L20" s="16" t="inlineStr"/>
      <c r="M20" s="35">
        <f>IF(I20="","",HYPERLINK("https://www.google.com/maps/search/?api=1&amp;query="&amp;SUBSTITUTE(I20&amp;", "&amp;J20&amp;", Rio de Janeiro"," ","+"),"Abrir no Maps"))</f>
        <v/>
      </c>
    </row>
    <row r="21">
      <c r="A21" s="20">
        <f>IF(C21="","",TEXT(C21,"mmmm"))</f>
        <v/>
      </c>
      <c r="B21" s="20" t="inlineStr">
        <is>
          <t>Semana 1</t>
        </is>
      </c>
      <c r="C21" s="36" t="n">
        <v>46302</v>
      </c>
      <c r="D21" s="20">
        <f>IF(C21="","",TEXT(C21,"dddd"))</f>
        <v/>
      </c>
      <c r="E21" s="20" t="inlineStr">
        <is>
          <t>Zona Sul</t>
        </is>
      </c>
      <c r="F21" s="23">
        <f>IF(G21&lt;&gt;"",IF(LEFT(UPPER(TRIM(G21)),1)="V","Drogaria Venancio",""),IF(H21&lt;&gt;"","Cristal",""))</f>
        <v/>
      </c>
      <c r="G21" s="20" t="inlineStr"/>
      <c r="H21" s="20" t="inlineStr">
        <is>
          <t>Drogaria Malibu</t>
        </is>
      </c>
      <c r="I21" s="20" t="inlineStr">
        <is>
          <t>Rua Barata Ribeiro, 450, loja D</t>
        </is>
      </c>
      <c r="J21" s="20" t="inlineStr">
        <is>
          <t>Copacabana</t>
        </is>
      </c>
      <c r="K21" s="20" t="inlineStr">
        <is>
          <t>Pendente</t>
        </is>
      </c>
      <c r="L21" s="20" t="inlineStr"/>
      <c r="M21" s="37">
        <f>IF(I21="","",HYPERLINK("https://www.google.com/maps/search/?api=1&amp;query="&amp;SUBSTITUTE(I21&amp;", "&amp;J21&amp;", Rio de Janeiro"," ","+"),"Abrir no Maps"))</f>
        <v/>
      </c>
    </row>
    <row r="22">
      <c r="A22" s="16">
        <f>IF(C22="","",TEXT(C22,"mmmm"))</f>
        <v/>
      </c>
      <c r="B22" s="16" t="inlineStr">
        <is>
          <t>Semana 1</t>
        </is>
      </c>
      <c r="C22" s="34" t="n">
        <v>46302</v>
      </c>
      <c r="D22" s="16">
        <f>IF(C22="","",TEXT(C22,"dddd"))</f>
        <v/>
      </c>
      <c r="E22" s="16" t="inlineStr">
        <is>
          <t>Zona Sul</t>
        </is>
      </c>
      <c r="F22" s="23">
        <f>IF(G22&lt;&gt;"",IF(LEFT(UPPER(TRIM(G22)),1)="V","Drogaria Venancio",""),IF(H22&lt;&gt;"","Cristal",""))</f>
        <v/>
      </c>
      <c r="G22" s="16" t="inlineStr"/>
      <c r="H22" s="16" t="inlineStr">
        <is>
          <t>Drogaria Copa Urich</t>
        </is>
      </c>
      <c r="I22" s="16" t="inlineStr">
        <is>
          <t>Av. Nossa Sra. de Copacabana, 1063, loja C</t>
        </is>
      </c>
      <c r="J22" s="16" t="inlineStr">
        <is>
          <t>Copacabana</t>
        </is>
      </c>
      <c r="K22" s="16" t="inlineStr">
        <is>
          <t>Pendente</t>
        </is>
      </c>
      <c r="L22" s="16" t="inlineStr"/>
      <c r="M22" s="35">
        <f>IF(I22="","",HYPERLINK("https://www.google.com/maps/search/?api=1&amp;query="&amp;SUBSTITUTE(I22&amp;", "&amp;J22&amp;", Rio de Janeiro"," ","+"),"Abrir no Maps"))</f>
        <v/>
      </c>
    </row>
    <row r="23">
      <c r="A23" s="20">
        <f>IF(C23="","",TEXT(C23,"mmmm"))</f>
        <v/>
      </c>
      <c r="B23" s="20" t="inlineStr">
        <is>
          <t>Semana 1</t>
        </is>
      </c>
      <c r="C23" s="36" t="n">
        <v>46302</v>
      </c>
      <c r="D23" s="20">
        <f>IF(C23="","",TEXT(C23,"dddd"))</f>
        <v/>
      </c>
      <c r="E23" s="20" t="inlineStr">
        <is>
          <t>Zona Sul</t>
        </is>
      </c>
      <c r="F23" s="23">
        <f>IF(G23&lt;&gt;"",IF(LEFT(UPPER(TRIM(G23)),1)="V","Drogaria Venancio",""),IF(H23&lt;&gt;"","Cristal",""))</f>
        <v/>
      </c>
      <c r="G23" s="20" t="inlineStr"/>
      <c r="H23" s="20" t="inlineStr">
        <is>
          <t>Drogaria Copa Lemos</t>
        </is>
      </c>
      <c r="I23" s="20" t="inlineStr">
        <is>
          <t>Av. Nossa Sra. de Copacabana, 1048, loja A</t>
        </is>
      </c>
      <c r="J23" s="20" t="inlineStr">
        <is>
          <t>Copacabana</t>
        </is>
      </c>
      <c r="K23" s="20" t="inlineStr">
        <is>
          <t>Pendente</t>
        </is>
      </c>
      <c r="L23" s="20" t="inlineStr"/>
      <c r="M23" s="37">
        <f>IF(I23="","",HYPERLINK("https://www.google.com/maps/search/?api=1&amp;query="&amp;SUBSTITUTE(I23&amp;", "&amp;J23&amp;", Rio de Janeiro"," ","+"),"Abrir no Maps"))</f>
        <v/>
      </c>
    </row>
    <row r="24">
      <c r="A24" s="16">
        <f>IF(C24="","",TEXT(C24,"mmmm"))</f>
        <v/>
      </c>
      <c r="B24" s="16" t="inlineStr">
        <is>
          <t>Semana 1</t>
        </is>
      </c>
      <c r="C24" s="34" t="n">
        <v>46302</v>
      </c>
      <c r="D24" s="16">
        <f>IF(C24="","",TEXT(C24,"dddd"))</f>
        <v/>
      </c>
      <c r="E24" s="16" t="inlineStr">
        <is>
          <t>Zona Sul</t>
        </is>
      </c>
      <c r="F24" s="23">
        <f>IF(G24&lt;&gt;"",IF(LEFT(UPPER(TRIM(G24)),1)="V","Drogaria Venancio",""),IF(H24&lt;&gt;"","Cristal",""))</f>
        <v/>
      </c>
      <c r="G24" s="16" t="inlineStr"/>
      <c r="H24" s="16" t="inlineStr">
        <is>
          <t>G5 Drogarias Arco Verde</t>
        </is>
      </c>
      <c r="I24" s="16" t="inlineStr">
        <is>
          <t>Rua Barata Ribeiro, 147, loja B</t>
        </is>
      </c>
      <c r="J24" s="16" t="inlineStr">
        <is>
          <t>Copacabana</t>
        </is>
      </c>
      <c r="K24" s="16" t="inlineStr">
        <is>
          <t>Pendente</t>
        </is>
      </c>
      <c r="L24" s="16" t="inlineStr"/>
      <c r="M24" s="35">
        <f>IF(I24="","",HYPERLINK("https://www.google.com/maps/search/?api=1&amp;query="&amp;SUBSTITUTE(I24&amp;", "&amp;J24&amp;", Rio de Janeiro"," ","+"),"Abrir no Maps"))</f>
        <v/>
      </c>
    </row>
    <row r="25">
      <c r="A25" s="20">
        <f>IF(C25="","",TEXT(C25,"mmmm"))</f>
        <v/>
      </c>
      <c r="B25" s="20" t="inlineStr">
        <is>
          <t>Semana 1</t>
        </is>
      </c>
      <c r="C25" s="36" t="n">
        <v>46303</v>
      </c>
      <c r="D25" s="20">
        <f>IF(C25="","",TEXT(C25,"dddd"))</f>
        <v/>
      </c>
      <c r="E25" s="20" t="inlineStr">
        <is>
          <t>Zona Sul</t>
        </is>
      </c>
      <c r="F25" s="18">
        <f>IF(G25&lt;&gt;"",IF(LEFT(UPPER(TRIM(G25)),1)="V","Drogaria Venancio",""),IF(H25&lt;&gt;"","Cristal",""))</f>
        <v/>
      </c>
      <c r="G25" s="20" t="inlineStr">
        <is>
          <t>V21</t>
        </is>
      </c>
      <c r="H25" s="20" t="inlineStr"/>
      <c r="I25" s="20" t="inlineStr">
        <is>
          <t>Rua Visconde de Pirajá, 477</t>
        </is>
      </c>
      <c r="J25" s="20" t="inlineStr">
        <is>
          <t>Ipanema</t>
        </is>
      </c>
      <c r="K25" s="20" t="inlineStr">
        <is>
          <t>Pendente</t>
        </is>
      </c>
      <c r="L25" s="20" t="inlineStr"/>
      <c r="M25" s="37">
        <f>IF(I25="","",HYPERLINK("https://www.google.com/maps/search/?api=1&amp;query="&amp;SUBSTITUTE(I25&amp;", "&amp;J25&amp;", Rio de Janeiro"," ","+"),"Abrir no Maps"))</f>
        <v/>
      </c>
    </row>
    <row r="26">
      <c r="A26" s="16">
        <f>IF(C26="","",TEXT(C26,"mmmm"))</f>
        <v/>
      </c>
      <c r="B26" s="16" t="inlineStr">
        <is>
          <t>Semana 1</t>
        </is>
      </c>
      <c r="C26" s="34" t="n">
        <v>46303</v>
      </c>
      <c r="D26" s="16">
        <f>IF(C26="","",TEXT(C26,"dddd"))</f>
        <v/>
      </c>
      <c r="E26" s="16" t="inlineStr">
        <is>
          <t>Zona Sul</t>
        </is>
      </c>
      <c r="F26" s="18">
        <f>IF(G26&lt;&gt;"",IF(LEFT(UPPER(TRIM(G26)),1)="V","Drogaria Venancio",""),IF(H26&lt;&gt;"","Cristal",""))</f>
        <v/>
      </c>
      <c r="G26" s="16" t="inlineStr">
        <is>
          <t>V138</t>
        </is>
      </c>
      <c r="H26" s="16" t="inlineStr"/>
      <c r="I26" s="16" t="inlineStr">
        <is>
          <t>Rua Visconde de Pirajá, 174</t>
        </is>
      </c>
      <c r="J26" s="16" t="inlineStr">
        <is>
          <t>Ipanema</t>
        </is>
      </c>
      <c r="K26" s="16" t="inlineStr">
        <is>
          <t>Pendente</t>
        </is>
      </c>
      <c r="L26" s="16" t="inlineStr"/>
      <c r="M26" s="35">
        <f>IF(I26="","",HYPERLINK("https://www.google.com/maps/search/?api=1&amp;query="&amp;SUBSTITUTE(I26&amp;", "&amp;J26&amp;", Rio de Janeiro"," ","+"),"Abrir no Maps"))</f>
        <v/>
      </c>
    </row>
    <row r="27">
      <c r="A27" s="20">
        <f>IF(C27="","",TEXT(C27,"mmmm"))</f>
        <v/>
      </c>
      <c r="B27" s="20" t="inlineStr">
        <is>
          <t>Semana 1</t>
        </is>
      </c>
      <c r="C27" s="36" t="n">
        <v>46303</v>
      </c>
      <c r="D27" s="20">
        <f>IF(C27="","",TEXT(C27,"dddd"))</f>
        <v/>
      </c>
      <c r="E27" s="20" t="inlineStr">
        <is>
          <t>Zona Sul</t>
        </is>
      </c>
      <c r="F27" s="23">
        <f>IF(G27&lt;&gt;"",IF(LEFT(UPPER(TRIM(G27)),1)="V","Drogaria Venancio",""),IF(H27&lt;&gt;"","Cristal",""))</f>
        <v/>
      </c>
      <c r="G27" s="20" t="inlineStr"/>
      <c r="H27" s="20" t="inlineStr">
        <is>
          <t>Drogaria Llipe Farma</t>
        </is>
      </c>
      <c r="I27" s="20" t="inlineStr">
        <is>
          <t>Rua Gomes Carneiro, 144, loja A</t>
        </is>
      </c>
      <c r="J27" s="20" t="inlineStr">
        <is>
          <t>Ipanema</t>
        </is>
      </c>
      <c r="K27" s="20" t="inlineStr">
        <is>
          <t>Pendente</t>
        </is>
      </c>
      <c r="L27" s="20" t="inlineStr"/>
      <c r="M27" s="37">
        <f>IF(I27="","",HYPERLINK("https://www.google.com/maps/search/?api=1&amp;query="&amp;SUBSTITUTE(I27&amp;", "&amp;J27&amp;", Rio de Janeiro"," ","+"),"Abrir no Maps"))</f>
        <v/>
      </c>
    </row>
    <row r="28">
      <c r="A28" s="16">
        <f>IF(C28="","",TEXT(C28,"mmmm"))</f>
        <v/>
      </c>
      <c r="B28" s="16" t="inlineStr">
        <is>
          <t>Semana 1</t>
        </is>
      </c>
      <c r="C28" s="34" t="n">
        <v>46303</v>
      </c>
      <c r="D28" s="16">
        <f>IF(C28="","",TEXT(C28,"dddd"))</f>
        <v/>
      </c>
      <c r="E28" s="16" t="inlineStr">
        <is>
          <t>Zona Sul</t>
        </is>
      </c>
      <c r="F28" s="23">
        <f>IF(G28&lt;&gt;"",IF(LEFT(UPPER(TRIM(G28)),1)="V","Drogaria Venancio",""),IF(H28&lt;&gt;"","Cristal",""))</f>
        <v/>
      </c>
      <c r="G28" s="16" t="inlineStr"/>
      <c r="H28" s="16" t="inlineStr">
        <is>
          <t>Farmácia Drogakar</t>
        </is>
      </c>
      <c r="I28" s="16" t="inlineStr">
        <is>
          <t>Rua Visconde de Pirajá, 12, loja B</t>
        </is>
      </c>
      <c r="J28" s="16" t="inlineStr">
        <is>
          <t>Ipanema</t>
        </is>
      </c>
      <c r="K28" s="16" t="inlineStr">
        <is>
          <t>Pendente</t>
        </is>
      </c>
      <c r="L28" s="16" t="inlineStr"/>
      <c r="M28" s="35">
        <f>IF(I28="","",HYPERLINK("https://www.google.com/maps/search/?api=1&amp;query="&amp;SUBSTITUTE(I28&amp;", "&amp;J28&amp;", Rio de Janeiro"," ","+"),"Abrir no Maps"))</f>
        <v/>
      </c>
    </row>
    <row r="29">
      <c r="A29" s="20">
        <f>IF(C29="","",TEXT(C29,"mmmm"))</f>
        <v/>
      </c>
      <c r="B29" s="20" t="inlineStr">
        <is>
          <t>Semana 1</t>
        </is>
      </c>
      <c r="C29" s="36" t="n">
        <v>46303</v>
      </c>
      <c r="D29" s="20">
        <f>IF(C29="","",TEXT(C29,"dddd"))</f>
        <v/>
      </c>
      <c r="E29" s="20" t="inlineStr">
        <is>
          <t>Zona Sul</t>
        </is>
      </c>
      <c r="F29" s="23">
        <f>IF(G29&lt;&gt;"",IF(LEFT(UPPER(TRIM(G29)),1)="V","Drogaria Venancio",""),IF(H29&lt;&gt;"","Cristal",""))</f>
        <v/>
      </c>
      <c r="G29" s="20" t="inlineStr"/>
      <c r="H29" s="20" t="inlineStr">
        <is>
          <t>G5 Drogarias Ipanema</t>
        </is>
      </c>
      <c r="I29" s="20" t="inlineStr">
        <is>
          <t>Rua Visconde de Pirajá, 525, loja B</t>
        </is>
      </c>
      <c r="J29" s="20" t="inlineStr">
        <is>
          <t>Ipanema</t>
        </is>
      </c>
      <c r="K29" s="20" t="inlineStr">
        <is>
          <t>Pendente</t>
        </is>
      </c>
      <c r="L29" s="20" t="inlineStr"/>
      <c r="M29" s="37">
        <f>IF(I29="","",HYPERLINK("https://www.google.com/maps/search/?api=1&amp;query="&amp;SUBSTITUTE(I29&amp;", "&amp;J29&amp;", Rio de Janeiro"," ","+"),"Abrir no Maps"))</f>
        <v/>
      </c>
    </row>
    <row r="30">
      <c r="A30" s="16">
        <f>IF(C30="","",TEXT(C30,"mmmm"))</f>
        <v/>
      </c>
      <c r="B30" s="16" t="inlineStr">
        <is>
          <t>Semana 1</t>
        </is>
      </c>
      <c r="C30" s="34" t="n">
        <v>46303</v>
      </c>
      <c r="D30" s="16">
        <f>IF(C30="","",TEXT(C30,"dddd"))</f>
        <v/>
      </c>
      <c r="E30" s="16" t="inlineStr">
        <is>
          <t>Zona Sul</t>
        </is>
      </c>
      <c r="F30" s="18">
        <f>IF(G30&lt;&gt;"",IF(LEFT(UPPER(TRIM(G30)),1)="V","Drogaria Venancio",""),IF(H30&lt;&gt;"","Cristal",""))</f>
        <v/>
      </c>
      <c r="G30" s="16" t="inlineStr">
        <is>
          <t>V104</t>
        </is>
      </c>
      <c r="H30" s="16" t="inlineStr"/>
      <c r="I30" s="16" t="inlineStr">
        <is>
          <t>Rua Ataulfo de Paiva</t>
        </is>
      </c>
      <c r="J30" s="16" t="inlineStr">
        <is>
          <t>Leblon</t>
        </is>
      </c>
      <c r="K30" s="16" t="inlineStr">
        <is>
          <t>Pendente</t>
        </is>
      </c>
      <c r="L30" s="16" t="inlineStr"/>
      <c r="M30" s="35">
        <f>IF(I30="","",HYPERLINK("https://www.google.com/maps/search/?api=1&amp;query="&amp;SUBSTITUTE(I30&amp;", "&amp;J30&amp;", Rio de Janeiro"," ","+"),"Abrir no Maps"))</f>
        <v/>
      </c>
    </row>
    <row r="31">
      <c r="A31" s="20">
        <f>IF(C31="","",TEXT(C31,"mmmm"))</f>
        <v/>
      </c>
      <c r="B31" s="20" t="inlineStr">
        <is>
          <t>Semana 1</t>
        </is>
      </c>
      <c r="C31" s="36" t="n">
        <v>46303</v>
      </c>
      <c r="D31" s="20">
        <f>IF(C31="","",TEXT(C31,"dddd"))</f>
        <v/>
      </c>
      <c r="E31" s="20" t="inlineStr">
        <is>
          <t>Zona Sul</t>
        </is>
      </c>
      <c r="F31" s="18">
        <f>IF(G31&lt;&gt;"",IF(LEFT(UPPER(TRIM(G31)),1)="V","Drogaria Venancio",""),IF(H31&lt;&gt;"","Cristal",""))</f>
        <v/>
      </c>
      <c r="G31" s="20" t="inlineStr">
        <is>
          <t>V141</t>
        </is>
      </c>
      <c r="H31" s="20" t="inlineStr"/>
      <c r="I31" s="20" t="inlineStr">
        <is>
          <t>Rua José Linhares, 244</t>
        </is>
      </c>
      <c r="J31" s="20" t="inlineStr">
        <is>
          <t>Leblon</t>
        </is>
      </c>
      <c r="K31" s="20" t="inlineStr">
        <is>
          <t>Pendente</t>
        </is>
      </c>
      <c r="L31" s="20" t="inlineStr"/>
      <c r="M31" s="37">
        <f>IF(I31="","",HYPERLINK("https://www.google.com/maps/search/?api=1&amp;query="&amp;SUBSTITUTE(I31&amp;", "&amp;J31&amp;", Rio de Janeiro"," ","+"),"Abrir no Maps"))</f>
        <v/>
      </c>
    </row>
    <row r="32">
      <c r="A32" s="16">
        <f>IF(C32="","",TEXT(C32,"mmmm"))</f>
        <v/>
      </c>
      <c r="B32" s="16" t="inlineStr">
        <is>
          <t>Semana 1</t>
        </is>
      </c>
      <c r="C32" s="34" t="n">
        <v>46303</v>
      </c>
      <c r="D32" s="16">
        <f>IF(C32="","",TEXT(C32,"dddd"))</f>
        <v/>
      </c>
      <c r="E32" s="16" t="inlineStr">
        <is>
          <t>Zona Sul</t>
        </is>
      </c>
      <c r="F32" s="18">
        <f>IF(G32&lt;&gt;"",IF(LEFT(UPPER(TRIM(G32)),1)="V","Drogaria Venancio",""),IF(H32&lt;&gt;"","Cristal",""))</f>
        <v/>
      </c>
      <c r="G32" s="16" t="inlineStr">
        <is>
          <t>V57</t>
        </is>
      </c>
      <c r="H32" s="16" t="inlineStr"/>
      <c r="I32" s="16" t="inlineStr">
        <is>
          <t>Av. Ataulfo de Paiva, 80</t>
        </is>
      </c>
      <c r="J32" s="16" t="inlineStr">
        <is>
          <t>Leblon</t>
        </is>
      </c>
      <c r="K32" s="16" t="inlineStr">
        <is>
          <t>Pendente</t>
        </is>
      </c>
      <c r="L32" s="16" t="inlineStr"/>
      <c r="M32" s="35">
        <f>IF(I32="","",HYPERLINK("https://www.google.com/maps/search/?api=1&amp;query="&amp;SUBSTITUTE(I32&amp;", "&amp;J32&amp;", Rio de Janeiro"," ","+"),"Abrir no Maps"))</f>
        <v/>
      </c>
    </row>
    <row r="33">
      <c r="A33" s="20">
        <f>IF(C33="","",TEXT(C33,"mmmm"))</f>
        <v/>
      </c>
      <c r="B33" s="20" t="inlineStr">
        <is>
          <t>Semana 1</t>
        </is>
      </c>
      <c r="C33" s="36" t="n">
        <v>46303</v>
      </c>
      <c r="D33" s="20">
        <f>IF(C33="","",TEXT(C33,"dddd"))</f>
        <v/>
      </c>
      <c r="E33" s="20" t="inlineStr">
        <is>
          <t>Zona Sul</t>
        </is>
      </c>
      <c r="F33" s="23">
        <f>IF(G33&lt;&gt;"",IF(LEFT(UPPER(TRIM(G33)),1)="V","Drogaria Venancio",""),IF(H33&lt;&gt;"","Cristal",""))</f>
        <v/>
      </c>
      <c r="G33" s="20" t="inlineStr"/>
      <c r="H33" s="20" t="inlineStr">
        <is>
          <t>G5 Drogarias Lagoa</t>
        </is>
      </c>
      <c r="I33" s="20" t="inlineStr">
        <is>
          <t>Rua Mario Ribeiro, 231</t>
        </is>
      </c>
      <c r="J33" s="20" t="inlineStr">
        <is>
          <t>Leblon</t>
        </is>
      </c>
      <c r="K33" s="20" t="inlineStr">
        <is>
          <t>Pendente</t>
        </is>
      </c>
      <c r="L33" s="20" t="inlineStr"/>
      <c r="M33" s="37">
        <f>IF(I33="","",HYPERLINK("https://www.google.com/maps/search/?api=1&amp;query="&amp;SUBSTITUTE(I33&amp;", "&amp;J33&amp;", Rio de Janeiro"," ","+"),"Abrir no Maps"))</f>
        <v/>
      </c>
    </row>
    <row r="34">
      <c r="A34" s="16">
        <f>IF(C34="","",TEXT(C34,"mmmm"))</f>
        <v/>
      </c>
      <c r="B34" s="16" t="inlineStr">
        <is>
          <t>Semana 1</t>
        </is>
      </c>
      <c r="C34" s="34" t="n">
        <v>46303</v>
      </c>
      <c r="D34" s="16">
        <f>IF(C34="","",TEXT(C34,"dddd"))</f>
        <v/>
      </c>
      <c r="E34" s="16" t="inlineStr">
        <is>
          <t>Zona Sul</t>
        </is>
      </c>
      <c r="F34" s="23">
        <f>IF(G34&lt;&gt;"",IF(LEFT(UPPER(TRIM(G34)),1)="V","Drogaria Venancio",""),IF(H34&lt;&gt;"","Cristal",""))</f>
        <v/>
      </c>
      <c r="G34" s="16" t="inlineStr"/>
      <c r="H34" s="16" t="inlineStr">
        <is>
          <t>Farmácia Providência</t>
        </is>
      </c>
      <c r="I34" s="16" t="inlineStr">
        <is>
          <t>Rua Marques de São Vicente, 39, loja A</t>
        </is>
      </c>
      <c r="J34" s="16" t="inlineStr">
        <is>
          <t>Gávea</t>
        </is>
      </c>
      <c r="K34" s="16" t="inlineStr">
        <is>
          <t>Pendente</t>
        </is>
      </c>
      <c r="L34" s="16" t="inlineStr"/>
      <c r="M34" s="35">
        <f>IF(I34="","",HYPERLINK("https://www.google.com/maps/search/?api=1&amp;query="&amp;SUBSTITUTE(I34&amp;", "&amp;J34&amp;", Rio de Janeiro"," ","+"),"Abrir no Maps"))</f>
        <v/>
      </c>
    </row>
    <row r="35">
      <c r="A35" s="20">
        <f>IF(C35="","",TEXT(C35,"mmmm"))</f>
        <v/>
      </c>
      <c r="B35" s="20" t="inlineStr">
        <is>
          <t>Semana 1</t>
        </is>
      </c>
      <c r="C35" s="36" t="n">
        <v>46303</v>
      </c>
      <c r="D35" s="20">
        <f>IF(C35="","",TEXT(C35,"dddd"))</f>
        <v/>
      </c>
      <c r="E35" s="20" t="inlineStr">
        <is>
          <t>Zona Sul</t>
        </is>
      </c>
      <c r="F35" s="18">
        <f>IF(G35&lt;&gt;"",IF(LEFT(UPPER(TRIM(G35)),1)="V","Drogaria Venancio",""),IF(H35&lt;&gt;"","Cristal",""))</f>
        <v/>
      </c>
      <c r="G35" s="20" t="inlineStr">
        <is>
          <t>V81</t>
        </is>
      </c>
      <c r="H35" s="20" t="inlineStr"/>
      <c r="I35" s="20" t="inlineStr">
        <is>
          <t>Rua Jardim Botânico, 657</t>
        </is>
      </c>
      <c r="J35" s="20" t="inlineStr">
        <is>
          <t>Jardim Botânico</t>
        </is>
      </c>
      <c r="K35" s="20" t="inlineStr">
        <is>
          <t>Pendente</t>
        </is>
      </c>
      <c r="L35" s="20" t="inlineStr"/>
      <c r="M35" s="37">
        <f>IF(I35="","",HYPERLINK("https://www.google.com/maps/search/?api=1&amp;query="&amp;SUBSTITUTE(I35&amp;", "&amp;J35&amp;", Rio de Janeiro"," ","+"),"Abrir no Maps"))</f>
        <v/>
      </c>
    </row>
    <row r="36">
      <c r="A36" s="16">
        <f>IF(C36="","",TEXT(C36,"mmmm"))</f>
        <v/>
      </c>
      <c r="B36" s="16" t="inlineStr">
        <is>
          <t>Semana 1</t>
        </is>
      </c>
      <c r="C36" s="34" t="n">
        <v>46303</v>
      </c>
      <c r="D36" s="16">
        <f>IF(C36="","",TEXT(C36,"dddd"))</f>
        <v/>
      </c>
      <c r="E36" s="16" t="inlineStr">
        <is>
          <t>Zona Sul</t>
        </is>
      </c>
      <c r="F36" s="18">
        <f>IF(G36&lt;&gt;"",IF(LEFT(UPPER(TRIM(G36)),1)="V","Drogaria Venancio",""),IF(H36&lt;&gt;"","Cristal",""))</f>
        <v/>
      </c>
      <c r="G36" s="16" t="inlineStr">
        <is>
          <t>V63</t>
        </is>
      </c>
      <c r="H36" s="16" t="inlineStr"/>
      <c r="I36" s="16" t="inlineStr">
        <is>
          <t>Rua Jardim Botânico, 726</t>
        </is>
      </c>
      <c r="J36" s="16" t="inlineStr">
        <is>
          <t>Jardim Botânico</t>
        </is>
      </c>
      <c r="K36" s="16" t="inlineStr">
        <is>
          <t>Pendente</t>
        </is>
      </c>
      <c r="L36" s="16" t="inlineStr"/>
      <c r="M36" s="35">
        <f>IF(I36="","",HYPERLINK("https://www.google.com/maps/search/?api=1&amp;query="&amp;SUBSTITUTE(I36&amp;", "&amp;J36&amp;", Rio de Janeiro"," ","+"),"Abrir no Maps"))</f>
        <v/>
      </c>
    </row>
    <row r="37">
      <c r="A37" s="20">
        <f>IF(C37="","",TEXT(C37,"mmmm"))</f>
        <v/>
      </c>
      <c r="B37" s="20" t="inlineStr">
        <is>
          <t>Semana 1</t>
        </is>
      </c>
      <c r="C37" s="36" t="n">
        <v>46304</v>
      </c>
      <c r="D37" s="20">
        <f>IF(C37="","",TEXT(C37,"dddd"))</f>
        <v/>
      </c>
      <c r="E37" s="20" t="inlineStr">
        <is>
          <t>Centro / Zona Sul</t>
        </is>
      </c>
      <c r="F37" s="18">
        <f>IF(G37&lt;&gt;"",IF(LEFT(UPPER(TRIM(G37)),1)="V","Drogaria Venancio",""),IF(H37&lt;&gt;"","Cristal",""))</f>
        <v/>
      </c>
      <c r="G37" s="20" t="inlineStr">
        <is>
          <t>V59</t>
        </is>
      </c>
      <c r="H37" s="20" t="inlineStr"/>
      <c r="I37" s="20" t="inlineStr">
        <is>
          <t>Av. Rio Branco, 124</t>
        </is>
      </c>
      <c r="J37" s="20" t="inlineStr">
        <is>
          <t>Centro</t>
        </is>
      </c>
      <c r="K37" s="20" t="inlineStr">
        <is>
          <t>Pendente</t>
        </is>
      </c>
      <c r="L37" s="20" t="inlineStr"/>
      <c r="M37" s="37">
        <f>IF(I37="","",HYPERLINK("https://www.google.com/maps/search/?api=1&amp;query="&amp;SUBSTITUTE(I37&amp;", "&amp;J37&amp;", Rio de Janeiro"," ","+"),"Abrir no Maps"))</f>
        <v/>
      </c>
    </row>
    <row r="38">
      <c r="A38" s="16">
        <f>IF(C38="","",TEXT(C38,"mmmm"))</f>
        <v/>
      </c>
      <c r="B38" s="16" t="inlineStr">
        <is>
          <t>Semana 1</t>
        </is>
      </c>
      <c r="C38" s="34" t="n">
        <v>46304</v>
      </c>
      <c r="D38" s="16">
        <f>IF(C38="","",TEXT(C38,"dddd"))</f>
        <v/>
      </c>
      <c r="E38" s="16" t="inlineStr">
        <is>
          <t>Centro / Zona Sul</t>
        </is>
      </c>
      <c r="F38" s="18">
        <f>IF(G38&lt;&gt;"",IF(LEFT(UPPER(TRIM(G38)),1)="V","Drogaria Venancio",""),IF(H38&lt;&gt;"","Cristal",""))</f>
        <v/>
      </c>
      <c r="G38" s="16" t="inlineStr">
        <is>
          <t>V23</t>
        </is>
      </c>
      <c r="H38" s="16" t="inlineStr"/>
      <c r="I38" s="16" t="inlineStr">
        <is>
          <t>Av. Rio Branco, 185</t>
        </is>
      </c>
      <c r="J38" s="16" t="inlineStr">
        <is>
          <t>Centro</t>
        </is>
      </c>
      <c r="K38" s="16" t="inlineStr">
        <is>
          <t>Pendente</t>
        </is>
      </c>
      <c r="L38" s="16" t="inlineStr"/>
      <c r="M38" s="35">
        <f>IF(I38="","",HYPERLINK("https://www.google.com/maps/search/?api=1&amp;query="&amp;SUBSTITUTE(I38&amp;", "&amp;J38&amp;", Rio de Janeiro"," ","+"),"Abrir no Maps"))</f>
        <v/>
      </c>
    </row>
    <row r="39">
      <c r="A39" s="20">
        <f>IF(C39="","",TEXT(C39,"mmmm"))</f>
        <v/>
      </c>
      <c r="B39" s="20" t="inlineStr">
        <is>
          <t>Semana 1</t>
        </is>
      </c>
      <c r="C39" s="36" t="n">
        <v>46304</v>
      </c>
      <c r="D39" s="20">
        <f>IF(C39="","",TEXT(C39,"dddd"))</f>
        <v/>
      </c>
      <c r="E39" s="20" t="inlineStr">
        <is>
          <t>Centro / Zona Sul</t>
        </is>
      </c>
      <c r="F39" s="18">
        <f>IF(G39&lt;&gt;"",IF(LEFT(UPPER(TRIM(G39)),1)="V","Drogaria Venancio",""),IF(H39&lt;&gt;"","Cristal",""))</f>
        <v/>
      </c>
      <c r="G39" s="20" t="inlineStr">
        <is>
          <t>V32</t>
        </is>
      </c>
      <c r="H39" s="20" t="inlineStr"/>
      <c r="I39" s="20" t="inlineStr">
        <is>
          <t>Rua Neri Pinheiro, 293</t>
        </is>
      </c>
      <c r="J39" s="20" t="inlineStr">
        <is>
          <t>Cidade Nova</t>
        </is>
      </c>
      <c r="K39" s="20" t="inlineStr">
        <is>
          <t>Pendente</t>
        </is>
      </c>
      <c r="L39" s="20" t="inlineStr"/>
      <c r="M39" s="37">
        <f>IF(I39="","",HYPERLINK("https://www.google.com/maps/search/?api=1&amp;query="&amp;SUBSTITUTE(I39&amp;", "&amp;J39&amp;", Rio de Janeiro"," ","+"),"Abrir no Maps"))</f>
        <v/>
      </c>
    </row>
    <row r="40">
      <c r="A40" s="16">
        <f>IF(C40="","",TEXT(C40,"mmmm"))</f>
        <v/>
      </c>
      <c r="B40" s="16" t="inlineStr">
        <is>
          <t>Semana 1</t>
        </is>
      </c>
      <c r="C40" s="34" t="n">
        <v>46304</v>
      </c>
      <c r="D40" s="16">
        <f>IF(C40="","",TEXT(C40,"dddd"))</f>
        <v/>
      </c>
      <c r="E40" s="16" t="inlineStr">
        <is>
          <t>Centro / Zona Sul</t>
        </is>
      </c>
      <c r="F40" s="18">
        <f>IF(G40&lt;&gt;"",IF(LEFT(UPPER(TRIM(G40)),1)="V","Drogaria Venancio",""),IF(H40&lt;&gt;"","Cristal",""))</f>
        <v/>
      </c>
      <c r="G40" s="16" t="inlineStr">
        <is>
          <t>V108</t>
        </is>
      </c>
      <c r="H40" s="16" t="inlineStr"/>
      <c r="I40" s="16" t="inlineStr">
        <is>
          <t>Rua Senador Vergueiro, 9</t>
        </is>
      </c>
      <c r="J40" s="16" t="inlineStr">
        <is>
          <t>Flamengo</t>
        </is>
      </c>
      <c r="K40" s="16" t="inlineStr">
        <is>
          <t>Pendente</t>
        </is>
      </c>
      <c r="L40" s="16" t="inlineStr"/>
      <c r="M40" s="35">
        <f>IF(I40="","",HYPERLINK("https://www.google.com/maps/search/?api=1&amp;query="&amp;SUBSTITUTE(I40&amp;", "&amp;J40&amp;", Rio de Janeiro"," ","+"),"Abrir no Maps"))</f>
        <v/>
      </c>
    </row>
    <row r="41">
      <c r="A41" s="20">
        <f>IF(C41="","",TEXT(C41,"mmmm"))</f>
        <v/>
      </c>
      <c r="B41" s="20" t="inlineStr">
        <is>
          <t>Semana 1</t>
        </is>
      </c>
      <c r="C41" s="36" t="n">
        <v>46304</v>
      </c>
      <c r="D41" s="20">
        <f>IF(C41="","",TEXT(C41,"dddd"))</f>
        <v/>
      </c>
      <c r="E41" s="20" t="inlineStr">
        <is>
          <t>Centro / Zona Sul</t>
        </is>
      </c>
      <c r="F41" s="18">
        <f>IF(G41&lt;&gt;"",IF(LEFT(UPPER(TRIM(G41)),1)="V","Drogaria Venancio",""),IF(H41&lt;&gt;"","Cristal",""))</f>
        <v/>
      </c>
      <c r="G41" s="20" t="inlineStr">
        <is>
          <t>V132</t>
        </is>
      </c>
      <c r="H41" s="20" t="inlineStr"/>
      <c r="I41" s="20" t="inlineStr">
        <is>
          <t>Av. Lauro Sodré, 445</t>
        </is>
      </c>
      <c r="J41" s="20" t="inlineStr">
        <is>
          <t>Botafogo</t>
        </is>
      </c>
      <c r="K41" s="20" t="inlineStr">
        <is>
          <t>Pendente</t>
        </is>
      </c>
      <c r="L41" s="20" t="inlineStr"/>
      <c r="M41" s="37">
        <f>IF(I41="","",HYPERLINK("https://www.google.com/maps/search/?api=1&amp;query="&amp;SUBSTITUTE(I41&amp;", "&amp;J41&amp;", Rio de Janeiro"," ","+"),"Abrir no Maps"))</f>
        <v/>
      </c>
    </row>
    <row r="42">
      <c r="A42" s="16">
        <f>IF(C42="","",TEXT(C42,"mmmm"))</f>
        <v/>
      </c>
      <c r="B42" s="16" t="inlineStr">
        <is>
          <t>Semana 1</t>
        </is>
      </c>
      <c r="C42" s="34" t="n">
        <v>46304</v>
      </c>
      <c r="D42" s="16">
        <f>IF(C42="","",TEXT(C42,"dddd"))</f>
        <v/>
      </c>
      <c r="E42" s="16" t="inlineStr">
        <is>
          <t>Centro / Zona Sul</t>
        </is>
      </c>
      <c r="F42" s="18">
        <f>IF(G42&lt;&gt;"",IF(LEFT(UPPER(TRIM(G42)),1)="V","Drogaria Venancio",""),IF(H42&lt;&gt;"","Cristal",""))</f>
        <v/>
      </c>
      <c r="G42" s="16" t="inlineStr">
        <is>
          <t>V131</t>
        </is>
      </c>
      <c r="H42" s="16" t="inlineStr"/>
      <c r="I42" s="16" t="inlineStr">
        <is>
          <t>Rua São Clemente, 206</t>
        </is>
      </c>
      <c r="J42" s="16" t="inlineStr">
        <is>
          <t>Botafogo</t>
        </is>
      </c>
      <c r="K42" s="16" t="inlineStr">
        <is>
          <t>Pendente</t>
        </is>
      </c>
      <c r="L42" s="16" t="inlineStr"/>
      <c r="M42" s="35">
        <f>IF(I42="","",HYPERLINK("https://www.google.com/maps/search/?api=1&amp;query="&amp;SUBSTITUTE(I42&amp;", "&amp;J42&amp;", Rio de Janeiro"," ","+"),"Abrir no Maps"))</f>
        <v/>
      </c>
    </row>
    <row r="43">
      <c r="A43" s="20">
        <f>IF(C43="","",TEXT(C43,"mmmm"))</f>
        <v/>
      </c>
      <c r="B43" s="20" t="inlineStr">
        <is>
          <t>Semana 1</t>
        </is>
      </c>
      <c r="C43" s="36" t="n">
        <v>46304</v>
      </c>
      <c r="D43" s="20">
        <f>IF(C43="","",TEXT(C43,"dddd"))</f>
        <v/>
      </c>
      <c r="E43" s="20" t="inlineStr">
        <is>
          <t>Centro / Zona Sul</t>
        </is>
      </c>
      <c r="F43" s="18">
        <f>IF(G43&lt;&gt;"",IF(LEFT(UPPER(TRIM(G43)),1)="V","Drogaria Venancio",""),IF(H43&lt;&gt;"","Cristal",""))</f>
        <v/>
      </c>
      <c r="G43" s="20" t="inlineStr">
        <is>
          <t>V28</t>
        </is>
      </c>
      <c r="H43" s="20" t="inlineStr"/>
      <c r="I43" s="20" t="inlineStr">
        <is>
          <t>Rua Voluntários da Pátria, 128</t>
        </is>
      </c>
      <c r="J43" s="20" t="inlineStr">
        <is>
          <t>Botafogo</t>
        </is>
      </c>
      <c r="K43" s="20" t="inlineStr">
        <is>
          <t>Pendente</t>
        </is>
      </c>
      <c r="L43" s="20" t="inlineStr"/>
      <c r="M43" s="37">
        <f>IF(I43="","",HYPERLINK("https://www.google.com/maps/search/?api=1&amp;query="&amp;SUBSTITUTE(I43&amp;", "&amp;J43&amp;", Rio de Janeiro"," ","+"),"Abrir no Maps"))</f>
        <v/>
      </c>
    </row>
    <row r="44">
      <c r="A44" s="16">
        <f>IF(C44="","",TEXT(C44,"mmmm"))</f>
        <v/>
      </c>
      <c r="B44" s="16" t="inlineStr">
        <is>
          <t>Semana 1</t>
        </is>
      </c>
      <c r="C44" s="34" t="n">
        <v>46304</v>
      </c>
      <c r="D44" s="16">
        <f>IF(C44="","",TEXT(C44,"dddd"))</f>
        <v/>
      </c>
      <c r="E44" s="16" t="inlineStr">
        <is>
          <t>Centro / Zona Sul</t>
        </is>
      </c>
      <c r="F44" s="18">
        <f>IF(G44&lt;&gt;"",IF(LEFT(UPPER(TRIM(G44)),1)="V","Drogaria Venancio",""),IF(H44&lt;&gt;"","Cristal",""))</f>
        <v/>
      </c>
      <c r="G44" s="16" t="inlineStr">
        <is>
          <t>V121</t>
        </is>
      </c>
      <c r="H44" s="16" t="inlineStr"/>
      <c r="I44" s="16" t="inlineStr">
        <is>
          <t>Rua das Laranjeiras, 183</t>
        </is>
      </c>
      <c r="J44" s="16" t="inlineStr">
        <is>
          <t>Laranjeiras</t>
        </is>
      </c>
      <c r="K44" s="16" t="inlineStr">
        <is>
          <t>Pendente</t>
        </is>
      </c>
      <c r="L44" s="16" t="inlineStr"/>
      <c r="M44" s="35">
        <f>IF(I44="","",HYPERLINK("https://www.google.com/maps/search/?api=1&amp;query="&amp;SUBSTITUTE(I44&amp;", "&amp;J44&amp;", Rio de Janeiro"," ","+"),"Abrir no Maps"))</f>
        <v/>
      </c>
    </row>
    <row r="45">
      <c r="A45" s="20">
        <f>IF(C45="","",TEXT(C45,"mmmm"))</f>
        <v/>
      </c>
      <c r="B45" s="20">
        <f>IF(C45="","","Semana "&amp;ROUNDUP(DAY(C45)/7,0))</f>
        <v/>
      </c>
      <c r="C45" s="36" t="n"/>
      <c r="D45" s="20">
        <f>IF(C45="","",TEXT(C45,"dddd"))</f>
        <v/>
      </c>
      <c r="E45" s="20" t="n"/>
      <c r="F45" s="20">
        <f>IF(G45&lt;&gt;"",IF(LEFT(UPPER(TRIM(G45)),1)="V","Drogaria Venancio",""),IF(H45&lt;&gt;"","Cristal",""))</f>
        <v/>
      </c>
      <c r="G45" s="20" t="n"/>
      <c r="H45" s="20" t="n"/>
      <c r="I45" s="20" t="n"/>
      <c r="J45" s="20" t="n"/>
      <c r="K45" s="20" t="n"/>
      <c r="L45" s="20" t="n"/>
      <c r="M45" s="37">
        <f>IF(I45="","",HYPERLINK("https://www.google.com/maps/search/?api=1&amp;query="&amp;SUBSTITUTE(I45&amp;", "&amp;J45&amp;", Rio de Janeiro"," ","+"),"Abrir no Maps"))</f>
        <v/>
      </c>
    </row>
    <row r="46">
      <c r="A46" s="16">
        <f>IF(C46="","",TEXT(C46,"mmmm"))</f>
        <v/>
      </c>
      <c r="B46" s="16">
        <f>IF(C46="","","Semana "&amp;ROUNDUP(DAY(C46)/7,0))</f>
        <v/>
      </c>
      <c r="C46" s="34" t="n"/>
      <c r="D46" s="16">
        <f>IF(C46="","",TEXT(C46,"dddd"))</f>
        <v/>
      </c>
      <c r="E46" s="16" t="n"/>
      <c r="F46" s="16">
        <f>IF(G46&lt;&gt;"",IF(LEFT(UPPER(TRIM(G46)),1)="V","Drogaria Venancio",""),IF(H46&lt;&gt;"","Cristal",""))</f>
        <v/>
      </c>
      <c r="G46" s="16" t="n"/>
      <c r="H46" s="16" t="n"/>
      <c r="I46" s="16" t="n"/>
      <c r="J46" s="16" t="n"/>
      <c r="K46" s="16" t="n"/>
      <c r="L46" s="16" t="n"/>
      <c r="M46" s="35">
        <f>IF(I46="","",HYPERLINK("https://www.google.com/maps/search/?api=1&amp;query="&amp;SUBSTITUTE(I46&amp;", "&amp;J46&amp;", Rio de Janeiro"," ","+"),"Abrir no Maps"))</f>
        <v/>
      </c>
    </row>
    <row r="47">
      <c r="A47" s="20">
        <f>IF(C47="","",TEXT(C47,"mmmm"))</f>
        <v/>
      </c>
      <c r="B47" s="20">
        <f>IF(C47="","","Semana "&amp;ROUNDUP(DAY(C47)/7,0))</f>
        <v/>
      </c>
      <c r="C47" s="36" t="n"/>
      <c r="D47" s="20">
        <f>IF(C47="","",TEXT(C47,"dddd"))</f>
        <v/>
      </c>
      <c r="E47" s="20" t="n"/>
      <c r="F47" s="20">
        <f>IF(G47&lt;&gt;"",IF(LEFT(UPPER(TRIM(G47)),1)="V","Drogaria Venancio",""),IF(H47&lt;&gt;"","Cristal",""))</f>
        <v/>
      </c>
      <c r="G47" s="20" t="n"/>
      <c r="H47" s="20" t="n"/>
      <c r="I47" s="20" t="n"/>
      <c r="J47" s="20" t="n"/>
      <c r="K47" s="20" t="n"/>
      <c r="L47" s="20" t="n"/>
      <c r="M47" s="37">
        <f>IF(I47="","",HYPERLINK("https://www.google.com/maps/search/?api=1&amp;query="&amp;SUBSTITUTE(I47&amp;", "&amp;J47&amp;", Rio de Janeiro"," ","+"),"Abrir no Maps"))</f>
        <v/>
      </c>
    </row>
    <row r="48">
      <c r="A48" s="16">
        <f>IF(C48="","",TEXT(C48,"mmmm"))</f>
        <v/>
      </c>
      <c r="B48" s="16">
        <f>IF(C48="","","Semana "&amp;ROUNDUP(DAY(C48)/7,0))</f>
        <v/>
      </c>
      <c r="C48" s="34" t="n"/>
      <c r="D48" s="16">
        <f>IF(C48="","",TEXT(C48,"dddd"))</f>
        <v/>
      </c>
      <c r="E48" s="16" t="n"/>
      <c r="F48" s="16">
        <f>IF(G48&lt;&gt;"",IF(LEFT(UPPER(TRIM(G48)),1)="V","Drogaria Venancio",""),IF(H48&lt;&gt;"","Cristal",""))</f>
        <v/>
      </c>
      <c r="G48" s="16" t="n"/>
      <c r="H48" s="16" t="n"/>
      <c r="I48" s="16" t="n"/>
      <c r="J48" s="16" t="n"/>
      <c r="K48" s="16" t="n"/>
      <c r="L48" s="16" t="n"/>
      <c r="M48" s="35">
        <f>IF(I48="","",HYPERLINK("https://www.google.com/maps/search/?api=1&amp;query="&amp;SUBSTITUTE(I48&amp;", "&amp;J48&amp;", Rio de Janeiro"," ","+"),"Abrir no Maps"))</f>
        <v/>
      </c>
    </row>
    <row r="49">
      <c r="A49" s="20">
        <f>IF(C49="","",TEXT(C49,"mmmm"))</f>
        <v/>
      </c>
      <c r="B49" s="20">
        <f>IF(C49="","","Semana "&amp;ROUNDUP(DAY(C49)/7,0))</f>
        <v/>
      </c>
      <c r="C49" s="36" t="n"/>
      <c r="D49" s="20">
        <f>IF(C49="","",TEXT(C49,"dddd"))</f>
        <v/>
      </c>
      <c r="E49" s="20" t="n"/>
      <c r="F49" s="20">
        <f>IF(G49&lt;&gt;"",IF(LEFT(UPPER(TRIM(G49)),1)="V","Drogaria Venancio",""),IF(H49&lt;&gt;"","Cristal",""))</f>
        <v/>
      </c>
      <c r="G49" s="20" t="n"/>
      <c r="H49" s="20" t="n"/>
      <c r="I49" s="20" t="n"/>
      <c r="J49" s="20" t="n"/>
      <c r="K49" s="20" t="n"/>
      <c r="L49" s="20" t="n"/>
      <c r="M49" s="37">
        <f>IF(I49="","",HYPERLINK("https://www.google.com/maps/search/?api=1&amp;query="&amp;SUBSTITUTE(I49&amp;", "&amp;J49&amp;", Rio de Janeiro"," ","+"),"Abrir no Maps"))</f>
        <v/>
      </c>
    </row>
    <row r="50">
      <c r="A50" s="16">
        <f>IF(C50="","",TEXT(C50,"mmmm"))</f>
        <v/>
      </c>
      <c r="B50" s="16">
        <f>IF(C50="","","Semana "&amp;ROUNDUP(DAY(C50)/7,0))</f>
        <v/>
      </c>
      <c r="C50" s="34" t="n"/>
      <c r="D50" s="16">
        <f>IF(C50="","",TEXT(C50,"dddd"))</f>
        <v/>
      </c>
      <c r="E50" s="16" t="n"/>
      <c r="F50" s="16">
        <f>IF(G50&lt;&gt;"",IF(LEFT(UPPER(TRIM(G50)),1)="V","Drogaria Venancio",""),IF(H50&lt;&gt;"","Cristal",""))</f>
        <v/>
      </c>
      <c r="G50" s="16" t="n"/>
      <c r="H50" s="16" t="n"/>
      <c r="I50" s="16" t="n"/>
      <c r="J50" s="16" t="n"/>
      <c r="K50" s="16" t="n"/>
      <c r="L50" s="16" t="n"/>
      <c r="M50" s="35">
        <f>IF(I50="","",HYPERLINK("https://www.google.com/maps/search/?api=1&amp;query="&amp;SUBSTITUTE(I50&amp;", "&amp;J50&amp;", Rio de Janeiro"," ","+"),"Abrir no Maps"))</f>
        <v/>
      </c>
    </row>
    <row r="51">
      <c r="A51" s="20">
        <f>IF(C51="","",TEXT(C51,"mmmm"))</f>
        <v/>
      </c>
      <c r="B51" s="20">
        <f>IF(C51="","","Semana "&amp;ROUNDUP(DAY(C51)/7,0))</f>
        <v/>
      </c>
      <c r="C51" s="36" t="n"/>
      <c r="D51" s="20">
        <f>IF(C51="","",TEXT(C51,"dddd"))</f>
        <v/>
      </c>
      <c r="E51" s="20" t="n"/>
      <c r="F51" s="20">
        <f>IF(G51&lt;&gt;"",IF(LEFT(UPPER(TRIM(G51)),1)="V","Drogaria Venancio",""),IF(H51&lt;&gt;"","Cristal",""))</f>
        <v/>
      </c>
      <c r="G51" s="20" t="n"/>
      <c r="H51" s="20" t="n"/>
      <c r="I51" s="20" t="n"/>
      <c r="J51" s="20" t="n"/>
      <c r="K51" s="20" t="n"/>
      <c r="L51" s="20" t="n"/>
      <c r="M51" s="37">
        <f>IF(I51="","",HYPERLINK("https://www.google.com/maps/search/?api=1&amp;query="&amp;SUBSTITUTE(I51&amp;", "&amp;J51&amp;", Rio de Janeiro"," ","+"),"Abrir no Maps"))</f>
        <v/>
      </c>
    </row>
    <row r="52">
      <c r="A52" s="16">
        <f>IF(C52="","",TEXT(C52,"mmmm"))</f>
        <v/>
      </c>
      <c r="B52" s="16">
        <f>IF(C52="","","Semana "&amp;ROUNDUP(DAY(C52)/7,0))</f>
        <v/>
      </c>
      <c r="C52" s="34" t="n"/>
      <c r="D52" s="16">
        <f>IF(C52="","",TEXT(C52,"dddd"))</f>
        <v/>
      </c>
      <c r="E52" s="16" t="n"/>
      <c r="F52" s="16">
        <f>IF(G52&lt;&gt;"",IF(LEFT(UPPER(TRIM(G52)),1)="V","Drogaria Venancio",""),IF(H52&lt;&gt;"","Cristal",""))</f>
        <v/>
      </c>
      <c r="G52" s="16" t="n"/>
      <c r="H52" s="16" t="n"/>
      <c r="I52" s="16" t="n"/>
      <c r="J52" s="16" t="n"/>
      <c r="K52" s="16" t="n"/>
      <c r="L52" s="16" t="n"/>
      <c r="M52" s="35">
        <f>IF(I52="","",HYPERLINK("https://www.google.com/maps/search/?api=1&amp;query="&amp;SUBSTITUTE(I52&amp;", "&amp;J52&amp;", Rio de Janeiro"," ","+"),"Abrir no Maps"))</f>
        <v/>
      </c>
    </row>
    <row r="53">
      <c r="A53" s="20">
        <f>IF(C53="","",TEXT(C53,"mmmm"))</f>
        <v/>
      </c>
      <c r="B53" s="20">
        <f>IF(C53="","","Semana "&amp;ROUNDUP(DAY(C53)/7,0))</f>
        <v/>
      </c>
      <c r="C53" s="36" t="n"/>
      <c r="D53" s="20">
        <f>IF(C53="","",TEXT(C53,"dddd"))</f>
        <v/>
      </c>
      <c r="E53" s="20" t="n"/>
      <c r="F53" s="20">
        <f>IF(G53&lt;&gt;"",IF(LEFT(UPPER(TRIM(G53)),1)="V","Drogaria Venancio",""),IF(H53&lt;&gt;"","Cristal",""))</f>
        <v/>
      </c>
      <c r="G53" s="20" t="n"/>
      <c r="H53" s="20" t="n"/>
      <c r="I53" s="20" t="n"/>
      <c r="J53" s="20" t="n"/>
      <c r="K53" s="20" t="n"/>
      <c r="L53" s="20" t="n"/>
      <c r="M53" s="37">
        <f>IF(I53="","",HYPERLINK("https://www.google.com/maps/search/?api=1&amp;query="&amp;SUBSTITUTE(I53&amp;", "&amp;J53&amp;", Rio de Janeiro"," ","+"),"Abrir no Maps"))</f>
        <v/>
      </c>
    </row>
    <row r="54">
      <c r="A54" s="16">
        <f>IF(C54="","",TEXT(C54,"mmmm"))</f>
        <v/>
      </c>
      <c r="B54" s="16">
        <f>IF(C54="","","Semana "&amp;ROUNDUP(DAY(C54)/7,0))</f>
        <v/>
      </c>
      <c r="C54" s="34" t="n"/>
      <c r="D54" s="16">
        <f>IF(C54="","",TEXT(C54,"dddd"))</f>
        <v/>
      </c>
      <c r="E54" s="16" t="n"/>
      <c r="F54" s="16">
        <f>IF(G54&lt;&gt;"",IF(LEFT(UPPER(TRIM(G54)),1)="V","Drogaria Venancio",""),IF(H54&lt;&gt;"","Cristal",""))</f>
        <v/>
      </c>
      <c r="G54" s="16" t="n"/>
      <c r="H54" s="16" t="n"/>
      <c r="I54" s="16" t="n"/>
      <c r="J54" s="16" t="n"/>
      <c r="K54" s="16" t="n"/>
      <c r="L54" s="16" t="n"/>
      <c r="M54" s="35">
        <f>IF(I54="","",HYPERLINK("https://www.google.com/maps/search/?api=1&amp;query="&amp;SUBSTITUTE(I54&amp;", "&amp;J54&amp;", Rio de Janeiro"," ","+"),"Abrir no Maps"))</f>
        <v/>
      </c>
    </row>
    <row r="55">
      <c r="A55" s="20">
        <f>IF(C55="","",TEXT(C55,"mmmm"))</f>
        <v/>
      </c>
      <c r="B55" s="20">
        <f>IF(C55="","","Semana "&amp;ROUNDUP(DAY(C55)/7,0))</f>
        <v/>
      </c>
      <c r="C55" s="36" t="n"/>
      <c r="D55" s="20">
        <f>IF(C55="","",TEXT(C55,"dddd"))</f>
        <v/>
      </c>
      <c r="E55" s="20" t="n"/>
      <c r="F55" s="20">
        <f>IF(G55&lt;&gt;"",IF(LEFT(UPPER(TRIM(G55)),1)="V","Drogaria Venancio",""),IF(H55&lt;&gt;"","Cristal",""))</f>
        <v/>
      </c>
      <c r="G55" s="20" t="n"/>
      <c r="H55" s="20" t="n"/>
      <c r="I55" s="20" t="n"/>
      <c r="J55" s="20" t="n"/>
      <c r="K55" s="20" t="n"/>
      <c r="L55" s="20" t="n"/>
      <c r="M55" s="37">
        <f>IF(I55="","",HYPERLINK("https://www.google.com/maps/search/?api=1&amp;query="&amp;SUBSTITUTE(I55&amp;", "&amp;J55&amp;", Rio de Janeiro"," ","+"),"Abrir no Maps"))</f>
        <v/>
      </c>
    </row>
    <row r="56">
      <c r="A56" s="16">
        <f>IF(C56="","",TEXT(C56,"mmmm"))</f>
        <v/>
      </c>
      <c r="B56" s="16">
        <f>IF(C56="","","Semana "&amp;ROUNDUP(DAY(C56)/7,0))</f>
        <v/>
      </c>
      <c r="C56" s="34" t="n"/>
      <c r="D56" s="16">
        <f>IF(C56="","",TEXT(C56,"dddd"))</f>
        <v/>
      </c>
      <c r="E56" s="16" t="n"/>
      <c r="F56" s="16">
        <f>IF(G56&lt;&gt;"",IF(LEFT(UPPER(TRIM(G56)),1)="V","Drogaria Venancio",""),IF(H56&lt;&gt;"","Cristal",""))</f>
        <v/>
      </c>
      <c r="G56" s="16" t="n"/>
      <c r="H56" s="16" t="n"/>
      <c r="I56" s="16" t="n"/>
      <c r="J56" s="16" t="n"/>
      <c r="K56" s="16" t="n"/>
      <c r="L56" s="16" t="n"/>
      <c r="M56" s="35">
        <f>IF(I56="","",HYPERLINK("https://www.google.com/maps/search/?api=1&amp;query="&amp;SUBSTITUTE(I56&amp;", "&amp;J56&amp;", Rio de Janeiro"," ","+"),"Abrir no Maps"))</f>
        <v/>
      </c>
    </row>
    <row r="57">
      <c r="A57" s="20">
        <f>IF(C57="","",TEXT(C57,"mmmm"))</f>
        <v/>
      </c>
      <c r="B57" s="20">
        <f>IF(C57="","","Semana "&amp;ROUNDUP(DAY(C57)/7,0))</f>
        <v/>
      </c>
      <c r="C57" s="36" t="n"/>
      <c r="D57" s="20">
        <f>IF(C57="","",TEXT(C57,"dddd"))</f>
        <v/>
      </c>
      <c r="E57" s="20" t="n"/>
      <c r="F57" s="20">
        <f>IF(G57&lt;&gt;"",IF(LEFT(UPPER(TRIM(G57)),1)="V","Drogaria Venancio",""),IF(H57&lt;&gt;"","Cristal",""))</f>
        <v/>
      </c>
      <c r="G57" s="20" t="n"/>
      <c r="H57" s="20" t="n"/>
      <c r="I57" s="20" t="n"/>
      <c r="J57" s="20" t="n"/>
      <c r="K57" s="20" t="n"/>
      <c r="L57" s="20" t="n"/>
      <c r="M57" s="37">
        <f>IF(I57="","",HYPERLINK("https://www.google.com/maps/search/?api=1&amp;query="&amp;SUBSTITUTE(I57&amp;", "&amp;J57&amp;", Rio de Janeiro"," ","+"),"Abrir no Maps"))</f>
        <v/>
      </c>
    </row>
    <row r="58">
      <c r="A58" s="16">
        <f>IF(C58="","",TEXT(C58,"mmmm"))</f>
        <v/>
      </c>
      <c r="B58" s="16">
        <f>IF(C58="","","Semana "&amp;ROUNDUP(DAY(C58)/7,0))</f>
        <v/>
      </c>
      <c r="C58" s="34" t="n"/>
      <c r="D58" s="16">
        <f>IF(C58="","",TEXT(C58,"dddd"))</f>
        <v/>
      </c>
      <c r="E58" s="16" t="n"/>
      <c r="F58" s="16">
        <f>IF(G58&lt;&gt;"",IF(LEFT(UPPER(TRIM(G58)),1)="V","Drogaria Venancio",""),IF(H58&lt;&gt;"","Cristal",""))</f>
        <v/>
      </c>
      <c r="G58" s="16" t="n"/>
      <c r="H58" s="16" t="n"/>
      <c r="I58" s="16" t="n"/>
      <c r="J58" s="16" t="n"/>
      <c r="K58" s="16" t="n"/>
      <c r="L58" s="16" t="n"/>
      <c r="M58" s="35">
        <f>IF(I58="","",HYPERLINK("https://www.google.com/maps/search/?api=1&amp;query="&amp;SUBSTITUTE(I58&amp;", "&amp;J58&amp;", Rio de Janeiro"," ","+"),"Abrir no Maps"))</f>
        <v/>
      </c>
    </row>
    <row r="59">
      <c r="A59" s="20">
        <f>IF(C59="","",TEXT(C59,"mmmm"))</f>
        <v/>
      </c>
      <c r="B59" s="20">
        <f>IF(C59="","","Semana "&amp;ROUNDUP(DAY(C59)/7,0))</f>
        <v/>
      </c>
      <c r="C59" s="36" t="n"/>
      <c r="D59" s="20">
        <f>IF(C59="","",TEXT(C59,"dddd"))</f>
        <v/>
      </c>
      <c r="E59" s="20" t="n"/>
      <c r="F59" s="20">
        <f>IF(G59&lt;&gt;"",IF(LEFT(UPPER(TRIM(G59)),1)="V","Drogaria Venancio",""),IF(H59&lt;&gt;"","Cristal",""))</f>
        <v/>
      </c>
      <c r="G59" s="20" t="n"/>
      <c r="H59" s="20" t="n"/>
      <c r="I59" s="20" t="n"/>
      <c r="J59" s="20" t="n"/>
      <c r="K59" s="20" t="n"/>
      <c r="L59" s="20" t="n"/>
      <c r="M59" s="37">
        <f>IF(I59="","",HYPERLINK("https://www.google.com/maps/search/?api=1&amp;query="&amp;SUBSTITUTE(I59&amp;", "&amp;J59&amp;", Rio de Janeiro"," ","+"),"Abrir no Maps"))</f>
        <v/>
      </c>
    </row>
    <row r="60">
      <c r="A60" s="16">
        <f>IF(C60="","",TEXT(C60,"mmmm"))</f>
        <v/>
      </c>
      <c r="B60" s="16">
        <f>IF(C60="","","Semana "&amp;ROUNDUP(DAY(C60)/7,0))</f>
        <v/>
      </c>
      <c r="C60" s="34" t="n"/>
      <c r="D60" s="16">
        <f>IF(C60="","",TEXT(C60,"dddd"))</f>
        <v/>
      </c>
      <c r="E60" s="16" t="n"/>
      <c r="F60" s="16">
        <f>IF(G60&lt;&gt;"",IF(LEFT(UPPER(TRIM(G60)),1)="V","Drogaria Venancio",""),IF(H60&lt;&gt;"","Cristal",""))</f>
        <v/>
      </c>
      <c r="G60" s="16" t="n"/>
      <c r="H60" s="16" t="n"/>
      <c r="I60" s="16" t="n"/>
      <c r="J60" s="16" t="n"/>
      <c r="K60" s="16" t="n"/>
      <c r="L60" s="16" t="n"/>
      <c r="M60" s="35">
        <f>IF(I60="","",HYPERLINK("https://www.google.com/maps/search/?api=1&amp;query="&amp;SUBSTITUTE(I60&amp;", "&amp;J60&amp;", Rio de Janeiro"," ","+"),"Abrir no Maps"))</f>
        <v/>
      </c>
    </row>
    <row r="61">
      <c r="A61" s="20">
        <f>IF(C61="","",TEXT(C61,"mmmm"))</f>
        <v/>
      </c>
      <c r="B61" s="20">
        <f>IF(C61="","","Semana "&amp;ROUNDUP(DAY(C61)/7,0))</f>
        <v/>
      </c>
      <c r="C61" s="36" t="n"/>
      <c r="D61" s="20">
        <f>IF(C61="","",TEXT(C61,"dddd"))</f>
        <v/>
      </c>
      <c r="E61" s="20" t="n"/>
      <c r="F61" s="20">
        <f>IF(G61&lt;&gt;"",IF(LEFT(UPPER(TRIM(G61)),1)="V","Drogaria Venancio",""),IF(H61&lt;&gt;"","Cristal",""))</f>
        <v/>
      </c>
      <c r="G61" s="20" t="n"/>
      <c r="H61" s="20" t="n"/>
      <c r="I61" s="20" t="n"/>
      <c r="J61" s="20" t="n"/>
      <c r="K61" s="20" t="n"/>
      <c r="L61" s="20" t="n"/>
      <c r="M61" s="37">
        <f>IF(I61="","",HYPERLINK("https://www.google.com/maps/search/?api=1&amp;query="&amp;SUBSTITUTE(I61&amp;", "&amp;J61&amp;", Rio de Janeiro"," ","+"),"Abrir no Maps"))</f>
        <v/>
      </c>
    </row>
    <row r="62">
      <c r="A62" s="16">
        <f>IF(C62="","",TEXT(C62,"mmmm"))</f>
        <v/>
      </c>
      <c r="B62" s="16">
        <f>IF(C62="","","Semana "&amp;ROUNDUP(DAY(C62)/7,0))</f>
        <v/>
      </c>
      <c r="C62" s="34" t="n"/>
      <c r="D62" s="16">
        <f>IF(C62="","",TEXT(C62,"dddd"))</f>
        <v/>
      </c>
      <c r="E62" s="16" t="n"/>
      <c r="F62" s="16">
        <f>IF(G62&lt;&gt;"",IF(LEFT(UPPER(TRIM(G62)),1)="V","Drogaria Venancio",""),IF(H62&lt;&gt;"","Cristal",""))</f>
        <v/>
      </c>
      <c r="G62" s="16" t="n"/>
      <c r="H62" s="16" t="n"/>
      <c r="I62" s="16" t="n"/>
      <c r="J62" s="16" t="n"/>
      <c r="K62" s="16" t="n"/>
      <c r="L62" s="16" t="n"/>
      <c r="M62" s="35">
        <f>IF(I62="","",HYPERLINK("https://www.google.com/maps/search/?api=1&amp;query="&amp;SUBSTITUTE(I62&amp;", "&amp;J62&amp;", Rio de Janeiro"," ","+"),"Abrir no Maps"))</f>
        <v/>
      </c>
    </row>
    <row r="63">
      <c r="A63" s="20">
        <f>IF(C63="","",TEXT(C63,"mmmm"))</f>
        <v/>
      </c>
      <c r="B63" s="20">
        <f>IF(C63="","","Semana "&amp;ROUNDUP(DAY(C63)/7,0))</f>
        <v/>
      </c>
      <c r="C63" s="36" t="n"/>
      <c r="D63" s="20">
        <f>IF(C63="","",TEXT(C63,"dddd"))</f>
        <v/>
      </c>
      <c r="E63" s="20" t="n"/>
      <c r="F63" s="20">
        <f>IF(G63&lt;&gt;"",IF(LEFT(UPPER(TRIM(G63)),1)="V","Drogaria Venancio",""),IF(H63&lt;&gt;"","Cristal",""))</f>
        <v/>
      </c>
      <c r="G63" s="20" t="n"/>
      <c r="H63" s="20" t="n"/>
      <c r="I63" s="20" t="n"/>
      <c r="J63" s="20" t="n"/>
      <c r="K63" s="20" t="n"/>
      <c r="L63" s="20" t="n"/>
      <c r="M63" s="37">
        <f>IF(I63="","",HYPERLINK("https://www.google.com/maps/search/?api=1&amp;query="&amp;SUBSTITUTE(I63&amp;", "&amp;J63&amp;", Rio de Janeiro"," ","+"),"Abrir no Maps"))</f>
        <v/>
      </c>
    </row>
    <row r="64">
      <c r="A64" s="16">
        <f>IF(C64="","",TEXT(C64,"mmmm"))</f>
        <v/>
      </c>
      <c r="B64" s="16">
        <f>IF(C64="","","Semana "&amp;ROUNDUP(DAY(C64)/7,0))</f>
        <v/>
      </c>
      <c r="C64" s="34" t="n"/>
      <c r="D64" s="16">
        <f>IF(C64="","",TEXT(C64,"dddd"))</f>
        <v/>
      </c>
      <c r="E64" s="16" t="n"/>
      <c r="F64" s="16">
        <f>IF(G64&lt;&gt;"",IF(LEFT(UPPER(TRIM(G64)),1)="V","Drogaria Venancio",""),IF(H64&lt;&gt;"","Cristal",""))</f>
        <v/>
      </c>
      <c r="G64" s="16" t="n"/>
      <c r="H64" s="16" t="n"/>
      <c r="I64" s="16" t="n"/>
      <c r="J64" s="16" t="n"/>
      <c r="K64" s="16" t="n"/>
      <c r="L64" s="16" t="n"/>
      <c r="M64" s="35">
        <f>IF(I64="","",HYPERLINK("https://www.google.com/maps/search/?api=1&amp;query="&amp;SUBSTITUTE(I64&amp;", "&amp;J64&amp;", Rio de Janeiro"," ","+"),"Abrir no Maps"))</f>
        <v/>
      </c>
    </row>
    <row r="65">
      <c r="A65" s="20">
        <f>IF(C65="","",TEXT(C65,"mmmm"))</f>
        <v/>
      </c>
      <c r="B65" s="20">
        <f>IF(C65="","","Semana "&amp;ROUNDUP(DAY(C65)/7,0))</f>
        <v/>
      </c>
      <c r="C65" s="36" t="n"/>
      <c r="D65" s="20">
        <f>IF(C65="","",TEXT(C65,"dddd"))</f>
        <v/>
      </c>
      <c r="E65" s="20" t="n"/>
      <c r="F65" s="20">
        <f>IF(G65&lt;&gt;"",IF(LEFT(UPPER(TRIM(G65)),1)="V","Drogaria Venancio",""),IF(H65&lt;&gt;"","Cristal",""))</f>
        <v/>
      </c>
      <c r="G65" s="20" t="n"/>
      <c r="H65" s="20" t="n"/>
      <c r="I65" s="20" t="n"/>
      <c r="J65" s="20" t="n"/>
      <c r="K65" s="20" t="n"/>
      <c r="L65" s="20" t="n"/>
      <c r="M65" s="37">
        <f>IF(I65="","",HYPERLINK("https://www.google.com/maps/search/?api=1&amp;query="&amp;SUBSTITUTE(I65&amp;", "&amp;J65&amp;", Rio de Janeiro"," ","+"),"Abrir no Maps"))</f>
        <v/>
      </c>
    </row>
    <row r="66">
      <c r="A66" s="16">
        <f>IF(C66="","",TEXT(C66,"mmmm"))</f>
        <v/>
      </c>
      <c r="B66" s="16">
        <f>IF(C66="","","Semana "&amp;ROUNDUP(DAY(C66)/7,0))</f>
        <v/>
      </c>
      <c r="C66" s="34" t="n"/>
      <c r="D66" s="16">
        <f>IF(C66="","",TEXT(C66,"dddd"))</f>
        <v/>
      </c>
      <c r="E66" s="16" t="n"/>
      <c r="F66" s="16">
        <f>IF(G66&lt;&gt;"",IF(LEFT(UPPER(TRIM(G66)),1)="V","Drogaria Venancio",""),IF(H66&lt;&gt;"","Cristal",""))</f>
        <v/>
      </c>
      <c r="G66" s="16" t="n"/>
      <c r="H66" s="16" t="n"/>
      <c r="I66" s="16" t="n"/>
      <c r="J66" s="16" t="n"/>
      <c r="K66" s="16" t="n"/>
      <c r="L66" s="16" t="n"/>
      <c r="M66" s="35">
        <f>IF(I66="","",HYPERLINK("https://www.google.com/maps/search/?api=1&amp;query="&amp;SUBSTITUTE(I66&amp;", "&amp;J66&amp;", Rio de Janeiro"," ","+"),"Abrir no Maps"))</f>
        <v/>
      </c>
    </row>
    <row r="67">
      <c r="A67" s="20">
        <f>IF(C67="","",TEXT(C67,"mmmm"))</f>
        <v/>
      </c>
      <c r="B67" s="20">
        <f>IF(C67="","","Semana "&amp;ROUNDUP(DAY(C67)/7,0))</f>
        <v/>
      </c>
      <c r="C67" s="36" t="n"/>
      <c r="D67" s="20">
        <f>IF(C67="","",TEXT(C67,"dddd"))</f>
        <v/>
      </c>
      <c r="E67" s="20" t="n"/>
      <c r="F67" s="20">
        <f>IF(G67&lt;&gt;"",IF(LEFT(UPPER(TRIM(G67)),1)="V","Drogaria Venancio",""),IF(H67&lt;&gt;"","Cristal",""))</f>
        <v/>
      </c>
      <c r="G67" s="20" t="n"/>
      <c r="H67" s="20" t="n"/>
      <c r="I67" s="20" t="n"/>
      <c r="J67" s="20" t="n"/>
      <c r="K67" s="20" t="n"/>
      <c r="L67" s="20" t="n"/>
      <c r="M67" s="37">
        <f>IF(I67="","",HYPERLINK("https://www.google.com/maps/search/?api=1&amp;query="&amp;SUBSTITUTE(I67&amp;", "&amp;J67&amp;", Rio de Janeiro"," ","+"),"Abrir no Maps"))</f>
        <v/>
      </c>
    </row>
    <row r="68">
      <c r="A68" s="16">
        <f>IF(C68="","",TEXT(C68,"mmmm"))</f>
        <v/>
      </c>
      <c r="B68" s="16">
        <f>IF(C68="","","Semana "&amp;ROUNDUP(DAY(C68)/7,0))</f>
        <v/>
      </c>
      <c r="C68" s="34" t="n"/>
      <c r="D68" s="16">
        <f>IF(C68="","",TEXT(C68,"dddd"))</f>
        <v/>
      </c>
      <c r="E68" s="16" t="n"/>
      <c r="F68" s="16">
        <f>IF(G68&lt;&gt;"",IF(LEFT(UPPER(TRIM(G68)),1)="V","Drogaria Venancio",""),IF(H68&lt;&gt;"","Cristal",""))</f>
        <v/>
      </c>
      <c r="G68" s="16" t="n"/>
      <c r="H68" s="16" t="n"/>
      <c r="I68" s="16" t="n"/>
      <c r="J68" s="16" t="n"/>
      <c r="K68" s="16" t="n"/>
      <c r="L68" s="16" t="n"/>
      <c r="M68" s="35">
        <f>IF(I68="","",HYPERLINK("https://www.google.com/maps/search/?api=1&amp;query="&amp;SUBSTITUTE(I68&amp;", "&amp;J68&amp;", Rio de Janeiro"," ","+"),"Abrir no Maps"))</f>
        <v/>
      </c>
    </row>
    <row r="69">
      <c r="A69" s="20">
        <f>IF(C69="","",TEXT(C69,"mmmm"))</f>
        <v/>
      </c>
      <c r="B69" s="20">
        <f>IF(C69="","","Semana "&amp;ROUNDUP(DAY(C69)/7,0))</f>
        <v/>
      </c>
      <c r="C69" s="36" t="n"/>
      <c r="D69" s="20">
        <f>IF(C69="","",TEXT(C69,"dddd"))</f>
        <v/>
      </c>
      <c r="E69" s="20" t="n"/>
      <c r="F69" s="20">
        <f>IF(G69&lt;&gt;"",IF(LEFT(UPPER(TRIM(G69)),1)="V","Drogaria Venancio",""),IF(H69&lt;&gt;"","Cristal",""))</f>
        <v/>
      </c>
      <c r="G69" s="20" t="n"/>
      <c r="H69" s="20" t="n"/>
      <c r="I69" s="20" t="n"/>
      <c r="J69" s="20" t="n"/>
      <c r="K69" s="20" t="n"/>
      <c r="L69" s="20" t="n"/>
      <c r="M69" s="37">
        <f>IF(I69="","",HYPERLINK("https://www.google.com/maps/search/?api=1&amp;query="&amp;SUBSTITUTE(I69&amp;", "&amp;J69&amp;", Rio de Janeiro"," ","+"),"Abrir no Maps"))</f>
        <v/>
      </c>
    </row>
    <row r="70">
      <c r="A70" s="16">
        <f>IF(C70="","",TEXT(C70,"mmmm"))</f>
        <v/>
      </c>
      <c r="B70" s="16">
        <f>IF(C70="","","Semana "&amp;ROUNDUP(DAY(C70)/7,0))</f>
        <v/>
      </c>
      <c r="C70" s="34" t="n"/>
      <c r="D70" s="16">
        <f>IF(C70="","",TEXT(C70,"dddd"))</f>
        <v/>
      </c>
      <c r="E70" s="16" t="n"/>
      <c r="F70" s="16">
        <f>IF(G70&lt;&gt;"",IF(LEFT(UPPER(TRIM(G70)),1)="V","Drogaria Venancio",""),IF(H70&lt;&gt;"","Cristal",""))</f>
        <v/>
      </c>
      <c r="G70" s="16" t="n"/>
      <c r="H70" s="16" t="n"/>
      <c r="I70" s="16" t="n"/>
      <c r="J70" s="16" t="n"/>
      <c r="K70" s="16" t="n"/>
      <c r="L70" s="16" t="n"/>
      <c r="M70" s="35">
        <f>IF(I70="","",HYPERLINK("https://www.google.com/maps/search/?api=1&amp;query="&amp;SUBSTITUTE(I70&amp;", "&amp;J70&amp;", Rio de Janeiro"," ","+"),"Abrir no Maps"))</f>
        <v/>
      </c>
    </row>
    <row r="71">
      <c r="A71" s="20">
        <f>IF(C71="","",TEXT(C71,"mmmm"))</f>
        <v/>
      </c>
      <c r="B71" s="20">
        <f>IF(C71="","","Semana "&amp;ROUNDUP(DAY(C71)/7,0))</f>
        <v/>
      </c>
      <c r="C71" s="36" t="n"/>
      <c r="D71" s="20">
        <f>IF(C71="","",TEXT(C71,"dddd"))</f>
        <v/>
      </c>
      <c r="E71" s="20" t="n"/>
      <c r="F71" s="20">
        <f>IF(G71&lt;&gt;"",IF(LEFT(UPPER(TRIM(G71)),1)="V","Drogaria Venancio",""),IF(H71&lt;&gt;"","Cristal",""))</f>
        <v/>
      </c>
      <c r="G71" s="20" t="n"/>
      <c r="H71" s="20" t="n"/>
      <c r="I71" s="20" t="n"/>
      <c r="J71" s="20" t="n"/>
      <c r="K71" s="20" t="n"/>
      <c r="L71" s="20" t="n"/>
      <c r="M71" s="37">
        <f>IF(I71="","",HYPERLINK("https://www.google.com/maps/search/?api=1&amp;query="&amp;SUBSTITUTE(I71&amp;", "&amp;J71&amp;", Rio de Janeiro"," ","+"),"Abrir no Maps"))</f>
        <v/>
      </c>
    </row>
    <row r="72">
      <c r="A72" s="16">
        <f>IF(C72="","",TEXT(C72,"mmmm"))</f>
        <v/>
      </c>
      <c r="B72" s="16">
        <f>IF(C72="","","Semana "&amp;ROUNDUP(DAY(C72)/7,0))</f>
        <v/>
      </c>
      <c r="C72" s="34" t="n"/>
      <c r="D72" s="16">
        <f>IF(C72="","",TEXT(C72,"dddd"))</f>
        <v/>
      </c>
      <c r="E72" s="16" t="n"/>
      <c r="F72" s="16">
        <f>IF(G72&lt;&gt;"",IF(LEFT(UPPER(TRIM(G72)),1)="V","Drogaria Venancio",""),IF(H72&lt;&gt;"","Cristal",""))</f>
        <v/>
      </c>
      <c r="G72" s="16" t="n"/>
      <c r="H72" s="16" t="n"/>
      <c r="I72" s="16" t="n"/>
      <c r="J72" s="16" t="n"/>
      <c r="K72" s="16" t="n"/>
      <c r="L72" s="16" t="n"/>
      <c r="M72" s="35">
        <f>IF(I72="","",HYPERLINK("https://www.google.com/maps/search/?api=1&amp;query="&amp;SUBSTITUTE(I72&amp;", "&amp;J72&amp;", Rio de Janeiro"," ","+"),"Abrir no Maps"))</f>
        <v/>
      </c>
    </row>
    <row r="73">
      <c r="A73" s="20">
        <f>IF(C73="","",TEXT(C73,"mmmm"))</f>
        <v/>
      </c>
      <c r="B73" s="20">
        <f>IF(C73="","","Semana "&amp;ROUNDUP(DAY(C73)/7,0))</f>
        <v/>
      </c>
      <c r="C73" s="36" t="n"/>
      <c r="D73" s="20">
        <f>IF(C73="","",TEXT(C73,"dddd"))</f>
        <v/>
      </c>
      <c r="E73" s="20" t="n"/>
      <c r="F73" s="20">
        <f>IF(G73&lt;&gt;"",IF(LEFT(UPPER(TRIM(G73)),1)="V","Drogaria Venancio",""),IF(H73&lt;&gt;"","Cristal",""))</f>
        <v/>
      </c>
      <c r="G73" s="20" t="n"/>
      <c r="H73" s="20" t="n"/>
      <c r="I73" s="20" t="n"/>
      <c r="J73" s="20" t="n"/>
      <c r="K73" s="20" t="n"/>
      <c r="L73" s="20" t="n"/>
      <c r="M73" s="37">
        <f>IF(I73="","",HYPERLINK("https://www.google.com/maps/search/?api=1&amp;query="&amp;SUBSTITUTE(I73&amp;", "&amp;J73&amp;", Rio de Janeiro"," ","+"),"Abrir no Maps"))</f>
        <v/>
      </c>
    </row>
    <row r="74">
      <c r="A74" s="16">
        <f>IF(C74="","",TEXT(C74,"mmmm"))</f>
        <v/>
      </c>
      <c r="B74" s="16">
        <f>IF(C74="","","Semana "&amp;ROUNDUP(DAY(C74)/7,0))</f>
        <v/>
      </c>
      <c r="C74" s="34" t="n"/>
      <c r="D74" s="16">
        <f>IF(C74="","",TEXT(C74,"dddd"))</f>
        <v/>
      </c>
      <c r="E74" s="16" t="n"/>
      <c r="F74" s="16">
        <f>IF(G74&lt;&gt;"",IF(LEFT(UPPER(TRIM(G74)),1)="V","Drogaria Venancio",""),IF(H74&lt;&gt;"","Cristal",""))</f>
        <v/>
      </c>
      <c r="G74" s="16" t="n"/>
      <c r="H74" s="16" t="n"/>
      <c r="I74" s="16" t="n"/>
      <c r="J74" s="16" t="n"/>
      <c r="K74" s="16" t="n"/>
      <c r="L74" s="16" t="n"/>
      <c r="M74" s="35">
        <f>IF(I74="","",HYPERLINK("https://www.google.com/maps/search/?api=1&amp;query="&amp;SUBSTITUTE(I74&amp;", "&amp;J74&amp;", Rio de Janeiro"," ","+"),"Abrir no Maps"))</f>
        <v/>
      </c>
    </row>
    <row r="75">
      <c r="A75" s="20">
        <f>IF(C75="","",TEXT(C75,"mmmm"))</f>
        <v/>
      </c>
      <c r="B75" s="20">
        <f>IF(C75="","","Semana "&amp;ROUNDUP(DAY(C75)/7,0))</f>
        <v/>
      </c>
      <c r="C75" s="36" t="n"/>
      <c r="D75" s="20">
        <f>IF(C75="","",TEXT(C75,"dddd"))</f>
        <v/>
      </c>
      <c r="E75" s="20" t="n"/>
      <c r="F75" s="20">
        <f>IF(G75&lt;&gt;"",IF(LEFT(UPPER(TRIM(G75)),1)="V","Drogaria Venancio",""),IF(H75&lt;&gt;"","Cristal",""))</f>
        <v/>
      </c>
      <c r="G75" s="20" t="n"/>
      <c r="H75" s="20" t="n"/>
      <c r="I75" s="20" t="n"/>
      <c r="J75" s="20" t="n"/>
      <c r="K75" s="20" t="n"/>
      <c r="L75" s="20" t="n"/>
      <c r="M75" s="37">
        <f>IF(I75="","",HYPERLINK("https://www.google.com/maps/search/?api=1&amp;query="&amp;SUBSTITUTE(I75&amp;", "&amp;J75&amp;", Rio de Janeiro"," ","+"),"Abrir no Maps"))</f>
        <v/>
      </c>
    </row>
    <row r="76">
      <c r="A76" s="16">
        <f>IF(C76="","",TEXT(C76,"mmmm"))</f>
        <v/>
      </c>
      <c r="B76" s="16">
        <f>IF(C76="","","Semana "&amp;ROUNDUP(DAY(C76)/7,0))</f>
        <v/>
      </c>
      <c r="C76" s="34" t="n"/>
      <c r="D76" s="16">
        <f>IF(C76="","",TEXT(C76,"dddd"))</f>
        <v/>
      </c>
      <c r="E76" s="16" t="n"/>
      <c r="F76" s="16">
        <f>IF(G76&lt;&gt;"",IF(LEFT(UPPER(TRIM(G76)),1)="V","Drogaria Venancio",""),IF(H76&lt;&gt;"","Cristal",""))</f>
        <v/>
      </c>
      <c r="G76" s="16" t="n"/>
      <c r="H76" s="16" t="n"/>
      <c r="I76" s="16" t="n"/>
      <c r="J76" s="16" t="n"/>
      <c r="K76" s="16" t="n"/>
      <c r="L76" s="16" t="n"/>
      <c r="M76" s="35">
        <f>IF(I76="","",HYPERLINK("https://www.google.com/maps/search/?api=1&amp;query="&amp;SUBSTITUTE(I76&amp;", "&amp;J76&amp;", Rio de Janeiro"," ","+"),"Abrir no Maps"))</f>
        <v/>
      </c>
    </row>
    <row r="77">
      <c r="A77" s="20">
        <f>IF(C77="","",TEXT(C77,"mmmm"))</f>
        <v/>
      </c>
      <c r="B77" s="20">
        <f>IF(C77="","","Semana "&amp;ROUNDUP(DAY(C77)/7,0))</f>
        <v/>
      </c>
      <c r="C77" s="36" t="n"/>
      <c r="D77" s="20">
        <f>IF(C77="","",TEXT(C77,"dddd"))</f>
        <v/>
      </c>
      <c r="E77" s="20" t="n"/>
      <c r="F77" s="20">
        <f>IF(G77&lt;&gt;"",IF(LEFT(UPPER(TRIM(G77)),1)="V","Drogaria Venancio",""),IF(H77&lt;&gt;"","Cristal",""))</f>
        <v/>
      </c>
      <c r="G77" s="20" t="n"/>
      <c r="H77" s="20" t="n"/>
      <c r="I77" s="20" t="n"/>
      <c r="J77" s="20" t="n"/>
      <c r="K77" s="20" t="n"/>
      <c r="L77" s="20" t="n"/>
      <c r="M77" s="37">
        <f>IF(I77="","",HYPERLINK("https://www.google.com/maps/search/?api=1&amp;query="&amp;SUBSTITUTE(I77&amp;", "&amp;J77&amp;", Rio de Janeiro"," ","+"),"Abrir no Maps"))</f>
        <v/>
      </c>
    </row>
    <row r="78">
      <c r="A78" s="16">
        <f>IF(C78="","",TEXT(C78,"mmmm"))</f>
        <v/>
      </c>
      <c r="B78" s="16">
        <f>IF(C78="","","Semana "&amp;ROUNDUP(DAY(C78)/7,0))</f>
        <v/>
      </c>
      <c r="C78" s="34" t="n"/>
      <c r="D78" s="16">
        <f>IF(C78="","",TEXT(C78,"dddd"))</f>
        <v/>
      </c>
      <c r="E78" s="16" t="n"/>
      <c r="F78" s="16">
        <f>IF(G78&lt;&gt;"",IF(LEFT(UPPER(TRIM(G78)),1)="V","Drogaria Venancio",""),IF(H78&lt;&gt;"","Cristal",""))</f>
        <v/>
      </c>
      <c r="G78" s="16" t="n"/>
      <c r="H78" s="16" t="n"/>
      <c r="I78" s="16" t="n"/>
      <c r="J78" s="16" t="n"/>
      <c r="K78" s="16" t="n"/>
      <c r="L78" s="16" t="n"/>
      <c r="M78" s="35">
        <f>IF(I78="","",HYPERLINK("https://www.google.com/maps/search/?api=1&amp;query="&amp;SUBSTITUTE(I78&amp;", "&amp;J78&amp;", Rio de Janeiro"," ","+"),"Abrir no Maps"))</f>
        <v/>
      </c>
    </row>
    <row r="79">
      <c r="A79" s="20">
        <f>IF(C79="","",TEXT(C79,"mmmm"))</f>
        <v/>
      </c>
      <c r="B79" s="20">
        <f>IF(C79="","","Semana "&amp;ROUNDUP(DAY(C79)/7,0))</f>
        <v/>
      </c>
      <c r="C79" s="36" t="n"/>
      <c r="D79" s="20">
        <f>IF(C79="","",TEXT(C79,"dddd"))</f>
        <v/>
      </c>
      <c r="E79" s="20" t="n"/>
      <c r="F79" s="20">
        <f>IF(G79&lt;&gt;"",IF(LEFT(UPPER(TRIM(G79)),1)="V","Drogaria Venancio",""),IF(H79&lt;&gt;"","Cristal",""))</f>
        <v/>
      </c>
      <c r="G79" s="20" t="n"/>
      <c r="H79" s="20" t="n"/>
      <c r="I79" s="20" t="n"/>
      <c r="J79" s="20" t="n"/>
      <c r="K79" s="20" t="n"/>
      <c r="L79" s="20" t="n"/>
      <c r="M79" s="37">
        <f>IF(I79="","",HYPERLINK("https://www.google.com/maps/search/?api=1&amp;query="&amp;SUBSTITUTE(I79&amp;", "&amp;J79&amp;", Rio de Janeiro"," ","+"),"Abrir no Maps"))</f>
        <v/>
      </c>
    </row>
    <row r="80">
      <c r="A80" s="16">
        <f>IF(C80="","",TEXT(C80,"mmmm"))</f>
        <v/>
      </c>
      <c r="B80" s="16">
        <f>IF(C80="","","Semana "&amp;ROUNDUP(DAY(C80)/7,0))</f>
        <v/>
      </c>
      <c r="C80" s="34" t="n"/>
      <c r="D80" s="16">
        <f>IF(C80="","",TEXT(C80,"dddd"))</f>
        <v/>
      </c>
      <c r="E80" s="16" t="n"/>
      <c r="F80" s="16">
        <f>IF(G80&lt;&gt;"",IF(LEFT(UPPER(TRIM(G80)),1)="V","Drogaria Venancio",""),IF(H80&lt;&gt;"","Cristal",""))</f>
        <v/>
      </c>
      <c r="G80" s="16" t="n"/>
      <c r="H80" s="16" t="n"/>
      <c r="I80" s="16" t="n"/>
      <c r="J80" s="16" t="n"/>
      <c r="K80" s="16" t="n"/>
      <c r="L80" s="16" t="n"/>
      <c r="M80" s="35">
        <f>IF(I80="","",HYPERLINK("https://www.google.com/maps/search/?api=1&amp;query="&amp;SUBSTITUTE(I80&amp;", "&amp;J80&amp;", Rio de Janeiro"," ","+"),"Abrir no Maps"))</f>
        <v/>
      </c>
    </row>
    <row r="81">
      <c r="A81" s="20">
        <f>IF(C81="","",TEXT(C81,"mmmm"))</f>
        <v/>
      </c>
      <c r="B81" s="20">
        <f>IF(C81="","","Semana "&amp;ROUNDUP(DAY(C81)/7,0))</f>
        <v/>
      </c>
      <c r="C81" s="36" t="n"/>
      <c r="D81" s="20">
        <f>IF(C81="","",TEXT(C81,"dddd"))</f>
        <v/>
      </c>
      <c r="E81" s="20" t="n"/>
      <c r="F81" s="20">
        <f>IF(G81&lt;&gt;"",IF(LEFT(UPPER(TRIM(G81)),1)="V","Drogaria Venancio",""),IF(H81&lt;&gt;"","Cristal",""))</f>
        <v/>
      </c>
      <c r="G81" s="20" t="n"/>
      <c r="H81" s="20" t="n"/>
      <c r="I81" s="20" t="n"/>
      <c r="J81" s="20" t="n"/>
      <c r="K81" s="20" t="n"/>
      <c r="L81" s="20" t="n"/>
      <c r="M81" s="37">
        <f>IF(I81="","",HYPERLINK("https://www.google.com/maps/search/?api=1&amp;query="&amp;SUBSTITUTE(I81&amp;", "&amp;J81&amp;", Rio de Janeiro"," ","+"),"Abrir no Maps"))</f>
        <v/>
      </c>
    </row>
    <row r="82">
      <c r="A82" s="16">
        <f>IF(C82="","",TEXT(C82,"mmmm"))</f>
        <v/>
      </c>
      <c r="B82" s="16">
        <f>IF(C82="","","Semana "&amp;ROUNDUP(DAY(C82)/7,0))</f>
        <v/>
      </c>
      <c r="C82" s="34" t="n"/>
      <c r="D82" s="16">
        <f>IF(C82="","",TEXT(C82,"dddd"))</f>
        <v/>
      </c>
      <c r="E82" s="16" t="n"/>
      <c r="F82" s="16">
        <f>IF(G82&lt;&gt;"",IF(LEFT(UPPER(TRIM(G82)),1)="V","Drogaria Venancio",""),IF(H82&lt;&gt;"","Cristal",""))</f>
        <v/>
      </c>
      <c r="G82" s="16" t="n"/>
      <c r="H82" s="16" t="n"/>
      <c r="I82" s="16" t="n"/>
      <c r="J82" s="16" t="n"/>
      <c r="K82" s="16" t="n"/>
      <c r="L82" s="16" t="n"/>
      <c r="M82" s="35">
        <f>IF(I82="","",HYPERLINK("https://www.google.com/maps/search/?api=1&amp;query="&amp;SUBSTITUTE(I82&amp;", "&amp;J82&amp;", Rio de Janeiro"," ","+"),"Abrir no Maps"))</f>
        <v/>
      </c>
    </row>
    <row r="83">
      <c r="A83" s="20">
        <f>IF(C83="","",TEXT(C83,"mmmm"))</f>
        <v/>
      </c>
      <c r="B83" s="20">
        <f>IF(C83="","","Semana "&amp;ROUNDUP(DAY(C83)/7,0))</f>
        <v/>
      </c>
      <c r="C83" s="36" t="n"/>
      <c r="D83" s="20">
        <f>IF(C83="","",TEXT(C83,"dddd"))</f>
        <v/>
      </c>
      <c r="E83" s="20" t="n"/>
      <c r="F83" s="20">
        <f>IF(G83&lt;&gt;"",IF(LEFT(UPPER(TRIM(G83)),1)="V","Drogaria Venancio",""),IF(H83&lt;&gt;"","Cristal",""))</f>
        <v/>
      </c>
      <c r="G83" s="20" t="n"/>
      <c r="H83" s="20" t="n"/>
      <c r="I83" s="20" t="n"/>
      <c r="J83" s="20" t="n"/>
      <c r="K83" s="20" t="n"/>
      <c r="L83" s="20" t="n"/>
      <c r="M83" s="37">
        <f>IF(I83="","",HYPERLINK("https://www.google.com/maps/search/?api=1&amp;query="&amp;SUBSTITUTE(I83&amp;", "&amp;J83&amp;", Rio de Janeiro"," ","+"),"Abrir no Maps"))</f>
        <v/>
      </c>
    </row>
    <row r="84">
      <c r="A84" s="16">
        <f>IF(C84="","",TEXT(C84,"mmmm"))</f>
        <v/>
      </c>
      <c r="B84" s="16">
        <f>IF(C84="","","Semana "&amp;ROUNDUP(DAY(C84)/7,0))</f>
        <v/>
      </c>
      <c r="C84" s="34" t="n"/>
      <c r="D84" s="16">
        <f>IF(C84="","",TEXT(C84,"dddd"))</f>
        <v/>
      </c>
      <c r="E84" s="16" t="n"/>
      <c r="F84" s="16">
        <f>IF(G84&lt;&gt;"",IF(LEFT(UPPER(TRIM(G84)),1)="V","Drogaria Venancio",""),IF(H84&lt;&gt;"","Cristal",""))</f>
        <v/>
      </c>
      <c r="G84" s="16" t="n"/>
      <c r="H84" s="16" t="n"/>
      <c r="I84" s="16" t="n"/>
      <c r="J84" s="16" t="n"/>
      <c r="K84" s="16" t="n"/>
      <c r="L84" s="16" t="n"/>
      <c r="M84" s="35">
        <f>IF(I84="","",HYPERLINK("https://www.google.com/maps/search/?api=1&amp;query="&amp;SUBSTITUTE(I84&amp;", "&amp;J84&amp;", Rio de Janeiro"," ","+"),"Abrir no Maps"))</f>
        <v/>
      </c>
    </row>
    <row r="85">
      <c r="A85" s="20">
        <f>IF(C85="","",TEXT(C85,"mmmm"))</f>
        <v/>
      </c>
      <c r="B85" s="20">
        <f>IF(C85="","","Semana "&amp;ROUNDUP(DAY(C85)/7,0))</f>
        <v/>
      </c>
      <c r="C85" s="36" t="n"/>
      <c r="D85" s="20">
        <f>IF(C85="","",TEXT(C85,"dddd"))</f>
        <v/>
      </c>
      <c r="E85" s="20" t="n"/>
      <c r="F85" s="20">
        <f>IF(G85&lt;&gt;"",IF(LEFT(UPPER(TRIM(G85)),1)="V","Drogaria Venancio",""),IF(H85&lt;&gt;"","Cristal",""))</f>
        <v/>
      </c>
      <c r="G85" s="20" t="n"/>
      <c r="H85" s="20" t="n"/>
      <c r="I85" s="20" t="n"/>
      <c r="J85" s="20" t="n"/>
      <c r="K85" s="20" t="n"/>
      <c r="L85" s="20" t="n"/>
      <c r="M85" s="37">
        <f>IF(I85="","",HYPERLINK("https://www.google.com/maps/search/?api=1&amp;query="&amp;SUBSTITUTE(I85&amp;", "&amp;J85&amp;", Rio de Janeiro"," ","+"),"Abrir no Maps"))</f>
        <v/>
      </c>
    </row>
    <row r="86">
      <c r="A86" s="16">
        <f>IF(C86="","",TEXT(C86,"mmmm"))</f>
        <v/>
      </c>
      <c r="B86" s="16">
        <f>IF(C86="","","Semana "&amp;ROUNDUP(DAY(C86)/7,0))</f>
        <v/>
      </c>
      <c r="C86" s="34" t="n"/>
      <c r="D86" s="16">
        <f>IF(C86="","",TEXT(C86,"dddd"))</f>
        <v/>
      </c>
      <c r="E86" s="16" t="n"/>
      <c r="F86" s="16">
        <f>IF(G86&lt;&gt;"",IF(LEFT(UPPER(TRIM(G86)),1)="V","Drogaria Venancio",""),IF(H86&lt;&gt;"","Cristal",""))</f>
        <v/>
      </c>
      <c r="G86" s="16" t="n"/>
      <c r="H86" s="16" t="n"/>
      <c r="I86" s="16" t="n"/>
      <c r="J86" s="16" t="n"/>
      <c r="K86" s="16" t="n"/>
      <c r="L86" s="16" t="n"/>
      <c r="M86" s="35">
        <f>IF(I86="","",HYPERLINK("https://www.google.com/maps/search/?api=1&amp;query="&amp;SUBSTITUTE(I86&amp;", "&amp;J86&amp;", Rio de Janeiro"," ","+"),"Abrir no Maps"))</f>
        <v/>
      </c>
    </row>
    <row r="87">
      <c r="A87" s="20">
        <f>IF(C87="","",TEXT(C87,"mmmm"))</f>
        <v/>
      </c>
      <c r="B87" s="20">
        <f>IF(C87="","","Semana "&amp;ROUNDUP(DAY(C87)/7,0))</f>
        <v/>
      </c>
      <c r="C87" s="36" t="n"/>
      <c r="D87" s="20">
        <f>IF(C87="","",TEXT(C87,"dddd"))</f>
        <v/>
      </c>
      <c r="E87" s="20" t="n"/>
      <c r="F87" s="20">
        <f>IF(G87&lt;&gt;"",IF(LEFT(UPPER(TRIM(G87)),1)="V","Drogaria Venancio",""),IF(H87&lt;&gt;"","Cristal",""))</f>
        <v/>
      </c>
      <c r="G87" s="20" t="n"/>
      <c r="H87" s="20" t="n"/>
      <c r="I87" s="20" t="n"/>
      <c r="J87" s="20" t="n"/>
      <c r="K87" s="20" t="n"/>
      <c r="L87" s="20" t="n"/>
      <c r="M87" s="37">
        <f>IF(I87="","",HYPERLINK("https://www.google.com/maps/search/?api=1&amp;query="&amp;SUBSTITUTE(I87&amp;", "&amp;J87&amp;", Rio de Janeiro"," ","+"),"Abrir no Maps"))</f>
        <v/>
      </c>
    </row>
    <row r="88">
      <c r="A88" s="16">
        <f>IF(C88="","",TEXT(C88,"mmmm"))</f>
        <v/>
      </c>
      <c r="B88" s="16">
        <f>IF(C88="","","Semana "&amp;ROUNDUP(DAY(C88)/7,0))</f>
        <v/>
      </c>
      <c r="C88" s="34" t="n"/>
      <c r="D88" s="16">
        <f>IF(C88="","",TEXT(C88,"dddd"))</f>
        <v/>
      </c>
      <c r="E88" s="16" t="n"/>
      <c r="F88" s="16">
        <f>IF(G88&lt;&gt;"",IF(LEFT(UPPER(TRIM(G88)),1)="V","Drogaria Venancio",""),IF(H88&lt;&gt;"","Cristal",""))</f>
        <v/>
      </c>
      <c r="G88" s="16" t="n"/>
      <c r="H88" s="16" t="n"/>
      <c r="I88" s="16" t="n"/>
      <c r="J88" s="16" t="n"/>
      <c r="K88" s="16" t="n"/>
      <c r="L88" s="16" t="n"/>
      <c r="M88" s="35">
        <f>IF(I88="","",HYPERLINK("https://www.google.com/maps/search/?api=1&amp;query="&amp;SUBSTITUTE(I88&amp;", "&amp;J88&amp;", Rio de Janeiro"," ","+"),"Abrir no Maps"))</f>
        <v/>
      </c>
    </row>
    <row r="89">
      <c r="A89" s="20">
        <f>IF(C89="","",TEXT(C89,"mmmm"))</f>
        <v/>
      </c>
      <c r="B89" s="20">
        <f>IF(C89="","","Semana "&amp;ROUNDUP(DAY(C89)/7,0))</f>
        <v/>
      </c>
      <c r="C89" s="36" t="n"/>
      <c r="D89" s="20">
        <f>IF(C89="","",TEXT(C89,"dddd"))</f>
        <v/>
      </c>
      <c r="E89" s="20" t="n"/>
      <c r="F89" s="20">
        <f>IF(G89&lt;&gt;"",IF(LEFT(UPPER(TRIM(G89)),1)="V","Drogaria Venancio",""),IF(H89&lt;&gt;"","Cristal",""))</f>
        <v/>
      </c>
      <c r="G89" s="20" t="n"/>
      <c r="H89" s="20" t="n"/>
      <c r="I89" s="20" t="n"/>
      <c r="J89" s="20" t="n"/>
      <c r="K89" s="20" t="n"/>
      <c r="L89" s="20" t="n"/>
      <c r="M89" s="37">
        <f>IF(I89="","",HYPERLINK("https://www.google.com/maps/search/?api=1&amp;query="&amp;SUBSTITUTE(I89&amp;", "&amp;J89&amp;", Rio de Janeiro"," ","+"),"Abrir no Maps"))</f>
        <v/>
      </c>
    </row>
    <row r="90">
      <c r="A90" s="16">
        <f>IF(C90="","",TEXT(C90,"mmmm"))</f>
        <v/>
      </c>
      <c r="B90" s="16">
        <f>IF(C90="","","Semana "&amp;ROUNDUP(DAY(C90)/7,0))</f>
        <v/>
      </c>
      <c r="C90" s="34" t="n"/>
      <c r="D90" s="16">
        <f>IF(C90="","",TEXT(C90,"dddd"))</f>
        <v/>
      </c>
      <c r="E90" s="16" t="n"/>
      <c r="F90" s="16">
        <f>IF(G90&lt;&gt;"",IF(LEFT(UPPER(TRIM(G90)),1)="V","Drogaria Venancio",""),IF(H90&lt;&gt;"","Cristal",""))</f>
        <v/>
      </c>
      <c r="G90" s="16" t="n"/>
      <c r="H90" s="16" t="n"/>
      <c r="I90" s="16" t="n"/>
      <c r="J90" s="16" t="n"/>
      <c r="K90" s="16" t="n"/>
      <c r="L90" s="16" t="n"/>
      <c r="M90" s="35">
        <f>IF(I90="","",HYPERLINK("https://www.google.com/maps/search/?api=1&amp;query="&amp;SUBSTITUTE(I90&amp;", "&amp;J90&amp;", Rio de Janeiro"," ","+"),"Abrir no Maps"))</f>
        <v/>
      </c>
    </row>
    <row r="91">
      <c r="A91" s="20">
        <f>IF(C91="","",TEXT(C91,"mmmm"))</f>
        <v/>
      </c>
      <c r="B91" s="20">
        <f>IF(C91="","","Semana "&amp;ROUNDUP(DAY(C91)/7,0))</f>
        <v/>
      </c>
      <c r="C91" s="36" t="n"/>
      <c r="D91" s="20">
        <f>IF(C91="","",TEXT(C91,"dddd"))</f>
        <v/>
      </c>
      <c r="E91" s="20" t="n"/>
      <c r="F91" s="20">
        <f>IF(G91&lt;&gt;"",IF(LEFT(UPPER(TRIM(G91)),1)="V","Drogaria Venancio",""),IF(H91&lt;&gt;"","Cristal",""))</f>
        <v/>
      </c>
      <c r="G91" s="20" t="n"/>
      <c r="H91" s="20" t="n"/>
      <c r="I91" s="20" t="n"/>
      <c r="J91" s="20" t="n"/>
      <c r="K91" s="20" t="n"/>
      <c r="L91" s="20" t="n"/>
      <c r="M91" s="37">
        <f>IF(I91="","",HYPERLINK("https://www.google.com/maps/search/?api=1&amp;query="&amp;SUBSTITUTE(I91&amp;", "&amp;J91&amp;", Rio de Janeiro"," ","+"),"Abrir no Maps"))</f>
        <v/>
      </c>
    </row>
    <row r="92">
      <c r="A92" s="16">
        <f>IF(C92="","",TEXT(C92,"mmmm"))</f>
        <v/>
      </c>
      <c r="B92" s="16">
        <f>IF(C92="","","Semana "&amp;ROUNDUP(DAY(C92)/7,0))</f>
        <v/>
      </c>
      <c r="C92" s="34" t="n"/>
      <c r="D92" s="16">
        <f>IF(C92="","",TEXT(C92,"dddd"))</f>
        <v/>
      </c>
      <c r="E92" s="16" t="n"/>
      <c r="F92" s="16">
        <f>IF(G92&lt;&gt;"",IF(LEFT(UPPER(TRIM(G92)),1)="V","Drogaria Venancio",""),IF(H92&lt;&gt;"","Cristal",""))</f>
        <v/>
      </c>
      <c r="G92" s="16" t="n"/>
      <c r="H92" s="16" t="n"/>
      <c r="I92" s="16" t="n"/>
      <c r="J92" s="16" t="n"/>
      <c r="K92" s="16" t="n"/>
      <c r="L92" s="16" t="n"/>
      <c r="M92" s="35">
        <f>IF(I92="","",HYPERLINK("https://www.google.com/maps/search/?api=1&amp;query="&amp;SUBSTITUTE(I92&amp;", "&amp;J92&amp;", Rio de Janeiro"," ","+"),"Abrir no Maps"))</f>
        <v/>
      </c>
    </row>
    <row r="93">
      <c r="A93" s="20">
        <f>IF(C93="","",TEXT(C93,"mmmm"))</f>
        <v/>
      </c>
      <c r="B93" s="20">
        <f>IF(C93="","","Semana "&amp;ROUNDUP(DAY(C93)/7,0))</f>
        <v/>
      </c>
      <c r="C93" s="36" t="n"/>
      <c r="D93" s="20">
        <f>IF(C93="","",TEXT(C93,"dddd"))</f>
        <v/>
      </c>
      <c r="E93" s="20" t="n"/>
      <c r="F93" s="20">
        <f>IF(G93&lt;&gt;"",IF(LEFT(UPPER(TRIM(G93)),1)="V","Drogaria Venancio",""),IF(H93&lt;&gt;"","Cristal",""))</f>
        <v/>
      </c>
      <c r="G93" s="20" t="n"/>
      <c r="H93" s="20" t="n"/>
      <c r="I93" s="20" t="n"/>
      <c r="J93" s="20" t="n"/>
      <c r="K93" s="20" t="n"/>
      <c r="L93" s="20" t="n"/>
      <c r="M93" s="37">
        <f>IF(I93="","",HYPERLINK("https://www.google.com/maps/search/?api=1&amp;query="&amp;SUBSTITUTE(I93&amp;", "&amp;J93&amp;", Rio de Janeiro"," ","+"),"Abrir no Maps"))</f>
        <v/>
      </c>
    </row>
    <row r="94">
      <c r="A94" s="16">
        <f>IF(C94="","",TEXT(C94,"mmmm"))</f>
        <v/>
      </c>
      <c r="B94" s="16">
        <f>IF(C94="","","Semana "&amp;ROUNDUP(DAY(C94)/7,0))</f>
        <v/>
      </c>
      <c r="C94" s="34" t="n"/>
      <c r="D94" s="16">
        <f>IF(C94="","",TEXT(C94,"dddd"))</f>
        <v/>
      </c>
      <c r="E94" s="16" t="n"/>
      <c r="F94" s="16">
        <f>IF(G94&lt;&gt;"",IF(LEFT(UPPER(TRIM(G94)),1)="V","Drogaria Venancio",""),IF(H94&lt;&gt;"","Cristal",""))</f>
        <v/>
      </c>
      <c r="G94" s="16" t="n"/>
      <c r="H94" s="16" t="n"/>
      <c r="I94" s="16" t="n"/>
      <c r="J94" s="16" t="n"/>
      <c r="K94" s="16" t="n"/>
      <c r="L94" s="16" t="n"/>
      <c r="M94" s="35">
        <f>IF(I94="","",HYPERLINK("https://www.google.com/maps/search/?api=1&amp;query="&amp;SUBSTITUTE(I94&amp;", "&amp;J94&amp;", Rio de Janeiro"," ","+"),"Abrir no Maps"))</f>
        <v/>
      </c>
    </row>
    <row r="95">
      <c r="A95" s="20">
        <f>IF(C95="","",TEXT(C95,"mmmm"))</f>
        <v/>
      </c>
      <c r="B95" s="20">
        <f>IF(C95="","","Semana "&amp;ROUNDUP(DAY(C95)/7,0))</f>
        <v/>
      </c>
      <c r="C95" s="36" t="n"/>
      <c r="D95" s="20">
        <f>IF(C95="","",TEXT(C95,"dddd"))</f>
        <v/>
      </c>
      <c r="E95" s="20" t="n"/>
      <c r="F95" s="20">
        <f>IF(G95&lt;&gt;"",IF(LEFT(UPPER(TRIM(G95)),1)="V","Drogaria Venancio",""),IF(H95&lt;&gt;"","Cristal",""))</f>
        <v/>
      </c>
      <c r="G95" s="20" t="n"/>
      <c r="H95" s="20" t="n"/>
      <c r="I95" s="20" t="n"/>
      <c r="J95" s="20" t="n"/>
      <c r="K95" s="20" t="n"/>
      <c r="L95" s="20" t="n"/>
      <c r="M95" s="37">
        <f>IF(I95="","",HYPERLINK("https://www.google.com/maps/search/?api=1&amp;query="&amp;SUBSTITUTE(I95&amp;", "&amp;J95&amp;", Rio de Janeiro"," ","+"),"Abrir no Maps"))</f>
        <v/>
      </c>
    </row>
    <row r="96">
      <c r="A96" s="16">
        <f>IF(C96="","",TEXT(C96,"mmmm"))</f>
        <v/>
      </c>
      <c r="B96" s="16">
        <f>IF(C96="","","Semana "&amp;ROUNDUP(DAY(C96)/7,0))</f>
        <v/>
      </c>
      <c r="C96" s="34" t="n"/>
      <c r="D96" s="16">
        <f>IF(C96="","",TEXT(C96,"dddd"))</f>
        <v/>
      </c>
      <c r="E96" s="16" t="n"/>
      <c r="F96" s="16">
        <f>IF(G96&lt;&gt;"",IF(LEFT(UPPER(TRIM(G96)),1)="V","Drogaria Venancio",""),IF(H96&lt;&gt;"","Cristal",""))</f>
        <v/>
      </c>
      <c r="G96" s="16" t="n"/>
      <c r="H96" s="16" t="n"/>
      <c r="I96" s="16" t="n"/>
      <c r="J96" s="16" t="n"/>
      <c r="K96" s="16" t="n"/>
      <c r="L96" s="16" t="n"/>
      <c r="M96" s="35">
        <f>IF(I96="","",HYPERLINK("https://www.google.com/maps/search/?api=1&amp;query="&amp;SUBSTITUTE(I96&amp;", "&amp;J96&amp;", Rio de Janeiro"," ","+"),"Abrir no Maps"))</f>
        <v/>
      </c>
    </row>
    <row r="97">
      <c r="A97" s="20">
        <f>IF(C97="","",TEXT(C97,"mmmm"))</f>
        <v/>
      </c>
      <c r="B97" s="20">
        <f>IF(C97="","","Semana "&amp;ROUNDUP(DAY(C97)/7,0))</f>
        <v/>
      </c>
      <c r="C97" s="36" t="n"/>
      <c r="D97" s="20">
        <f>IF(C97="","",TEXT(C97,"dddd"))</f>
        <v/>
      </c>
      <c r="E97" s="20" t="n"/>
      <c r="F97" s="20">
        <f>IF(G97&lt;&gt;"",IF(LEFT(UPPER(TRIM(G97)),1)="V","Drogaria Venancio",""),IF(H97&lt;&gt;"","Cristal",""))</f>
        <v/>
      </c>
      <c r="G97" s="20" t="n"/>
      <c r="H97" s="20" t="n"/>
      <c r="I97" s="20" t="n"/>
      <c r="J97" s="20" t="n"/>
      <c r="K97" s="20" t="n"/>
      <c r="L97" s="20" t="n"/>
      <c r="M97" s="37">
        <f>IF(I97="","",HYPERLINK("https://www.google.com/maps/search/?api=1&amp;query="&amp;SUBSTITUTE(I97&amp;", "&amp;J97&amp;", Rio de Janeiro"," ","+"),"Abrir no Maps"))</f>
        <v/>
      </c>
    </row>
    <row r="98">
      <c r="A98" s="16">
        <f>IF(C98="","",TEXT(C98,"mmmm"))</f>
        <v/>
      </c>
      <c r="B98" s="16">
        <f>IF(C98="","","Semana "&amp;ROUNDUP(DAY(C98)/7,0))</f>
        <v/>
      </c>
      <c r="C98" s="34" t="n"/>
      <c r="D98" s="16">
        <f>IF(C98="","",TEXT(C98,"dddd"))</f>
        <v/>
      </c>
      <c r="E98" s="16" t="n"/>
      <c r="F98" s="16">
        <f>IF(G98&lt;&gt;"",IF(LEFT(UPPER(TRIM(G98)),1)="V","Drogaria Venancio",""),IF(H98&lt;&gt;"","Cristal",""))</f>
        <v/>
      </c>
      <c r="G98" s="16" t="n"/>
      <c r="H98" s="16" t="n"/>
      <c r="I98" s="16" t="n"/>
      <c r="J98" s="16" t="n"/>
      <c r="K98" s="16" t="n"/>
      <c r="L98" s="16" t="n"/>
      <c r="M98" s="35">
        <f>IF(I98="","",HYPERLINK("https://www.google.com/maps/search/?api=1&amp;query="&amp;SUBSTITUTE(I98&amp;", "&amp;J98&amp;", Rio de Janeiro"," ","+"),"Abrir no Maps"))</f>
        <v/>
      </c>
    </row>
    <row r="99">
      <c r="A99" s="20">
        <f>IF(C99="","",TEXT(C99,"mmmm"))</f>
        <v/>
      </c>
      <c r="B99" s="20">
        <f>IF(C99="","","Semana "&amp;ROUNDUP(DAY(C99)/7,0))</f>
        <v/>
      </c>
      <c r="C99" s="36" t="n"/>
      <c r="D99" s="20">
        <f>IF(C99="","",TEXT(C99,"dddd"))</f>
        <v/>
      </c>
      <c r="E99" s="20" t="n"/>
      <c r="F99" s="20">
        <f>IF(G99&lt;&gt;"",IF(LEFT(UPPER(TRIM(G99)),1)="V","Drogaria Venancio",""),IF(H99&lt;&gt;"","Cristal",""))</f>
        <v/>
      </c>
      <c r="G99" s="20" t="n"/>
      <c r="H99" s="20" t="n"/>
      <c r="I99" s="20" t="n"/>
      <c r="J99" s="20" t="n"/>
      <c r="K99" s="20" t="n"/>
      <c r="L99" s="20" t="n"/>
      <c r="M99" s="37">
        <f>IF(I99="","",HYPERLINK("https://www.google.com/maps/search/?api=1&amp;query="&amp;SUBSTITUTE(I99&amp;", "&amp;J99&amp;", Rio de Janeiro"," ","+"),"Abrir no Maps"))</f>
        <v/>
      </c>
    </row>
    <row r="100">
      <c r="A100" s="16">
        <f>IF(C100="","",TEXT(C100,"mmmm"))</f>
        <v/>
      </c>
      <c r="B100" s="16">
        <f>IF(C100="","","Semana "&amp;ROUNDUP(DAY(C100)/7,0))</f>
        <v/>
      </c>
      <c r="C100" s="34" t="n"/>
      <c r="D100" s="16">
        <f>IF(C100="","",TEXT(C100,"dddd"))</f>
        <v/>
      </c>
      <c r="E100" s="16" t="n"/>
      <c r="F100" s="16">
        <f>IF(G100&lt;&gt;"",IF(LEFT(UPPER(TRIM(G100)),1)="V","Drogaria Venancio",""),IF(H100&lt;&gt;"","Cristal",""))</f>
        <v/>
      </c>
      <c r="G100" s="16" t="n"/>
      <c r="H100" s="16" t="n"/>
      <c r="I100" s="16" t="n"/>
      <c r="J100" s="16" t="n"/>
      <c r="K100" s="16" t="n"/>
      <c r="L100" s="16" t="n"/>
      <c r="M100" s="35">
        <f>IF(I100="","",HYPERLINK("https://www.google.com/maps/search/?api=1&amp;query="&amp;SUBSTITUTE(I100&amp;", "&amp;J100&amp;", Rio de Janeiro"," ","+"),"Abrir no Maps"))</f>
        <v/>
      </c>
    </row>
    <row r="101">
      <c r="A101" s="20">
        <f>IF(C101="","",TEXT(C101,"mmmm"))</f>
        <v/>
      </c>
      <c r="B101" s="20">
        <f>IF(C101="","","Semana "&amp;ROUNDUP(DAY(C101)/7,0))</f>
        <v/>
      </c>
      <c r="C101" s="36" t="n"/>
      <c r="D101" s="20">
        <f>IF(C101="","",TEXT(C101,"dddd"))</f>
        <v/>
      </c>
      <c r="E101" s="20" t="n"/>
      <c r="F101" s="20">
        <f>IF(G101&lt;&gt;"",IF(LEFT(UPPER(TRIM(G101)),1)="V","Drogaria Venancio",""),IF(H101&lt;&gt;"","Cristal",""))</f>
        <v/>
      </c>
      <c r="G101" s="20" t="n"/>
      <c r="H101" s="20" t="n"/>
      <c r="I101" s="20" t="n"/>
      <c r="J101" s="20" t="n"/>
      <c r="K101" s="20" t="n"/>
      <c r="L101" s="20" t="n"/>
      <c r="M101" s="37">
        <f>IF(I101="","",HYPERLINK("https://www.google.com/maps/search/?api=1&amp;query="&amp;SUBSTITUTE(I101&amp;", "&amp;J101&amp;", Rio de Janeiro"," ","+"),"Abrir no Maps"))</f>
        <v/>
      </c>
    </row>
    <row r="102">
      <c r="A102" s="16">
        <f>IF(C102="","",TEXT(C102,"mmmm"))</f>
        <v/>
      </c>
      <c r="B102" s="16">
        <f>IF(C102="","","Semana "&amp;ROUNDUP(DAY(C102)/7,0))</f>
        <v/>
      </c>
      <c r="C102" s="34" t="n"/>
      <c r="D102" s="16">
        <f>IF(C102="","",TEXT(C102,"dddd"))</f>
        <v/>
      </c>
      <c r="E102" s="16" t="n"/>
      <c r="F102" s="16">
        <f>IF(G102&lt;&gt;"",IF(LEFT(UPPER(TRIM(G102)),1)="V","Drogaria Venancio",""),IF(H102&lt;&gt;"","Cristal",""))</f>
        <v/>
      </c>
      <c r="G102" s="16" t="n"/>
      <c r="H102" s="16" t="n"/>
      <c r="I102" s="16" t="n"/>
      <c r="J102" s="16" t="n"/>
      <c r="K102" s="16" t="n"/>
      <c r="L102" s="16" t="n"/>
      <c r="M102" s="35">
        <f>IF(I102="","",HYPERLINK("https://www.google.com/maps/search/?api=1&amp;query="&amp;SUBSTITUTE(I102&amp;", "&amp;J102&amp;", Rio de Janeiro"," ","+"),"Abrir no Maps"))</f>
        <v/>
      </c>
    </row>
    <row r="103">
      <c r="A103" s="20">
        <f>IF(C103="","",TEXT(C103,"mmmm"))</f>
        <v/>
      </c>
      <c r="B103" s="20">
        <f>IF(C103="","","Semana "&amp;ROUNDUP(DAY(C103)/7,0))</f>
        <v/>
      </c>
      <c r="C103" s="36" t="n"/>
      <c r="D103" s="20">
        <f>IF(C103="","",TEXT(C103,"dddd"))</f>
        <v/>
      </c>
      <c r="E103" s="20" t="n"/>
      <c r="F103" s="20">
        <f>IF(G103&lt;&gt;"",IF(LEFT(UPPER(TRIM(G103)),1)="V","Drogaria Venancio",""),IF(H103&lt;&gt;"","Cristal",""))</f>
        <v/>
      </c>
      <c r="G103" s="20" t="n"/>
      <c r="H103" s="20" t="n"/>
      <c r="I103" s="20" t="n"/>
      <c r="J103" s="20" t="n"/>
      <c r="K103" s="20" t="n"/>
      <c r="L103" s="20" t="n"/>
      <c r="M103" s="37">
        <f>IF(I103="","",HYPERLINK("https://www.google.com/maps/search/?api=1&amp;query="&amp;SUBSTITUTE(I103&amp;", "&amp;J103&amp;", Rio de Janeiro"," ","+"),"Abrir no Maps"))</f>
        <v/>
      </c>
    </row>
    <row r="104">
      <c r="A104" s="16">
        <f>IF(C104="","",TEXT(C104,"mmmm"))</f>
        <v/>
      </c>
      <c r="B104" s="16">
        <f>IF(C104="","","Semana "&amp;ROUNDUP(DAY(C104)/7,0))</f>
        <v/>
      </c>
      <c r="C104" s="34" t="n"/>
      <c r="D104" s="16">
        <f>IF(C104="","",TEXT(C104,"dddd"))</f>
        <v/>
      </c>
      <c r="E104" s="16" t="n"/>
      <c r="F104" s="16">
        <f>IF(G104&lt;&gt;"",IF(LEFT(UPPER(TRIM(G104)),1)="V","Drogaria Venancio",""),IF(H104&lt;&gt;"","Cristal",""))</f>
        <v/>
      </c>
      <c r="G104" s="16" t="n"/>
      <c r="H104" s="16" t="n"/>
      <c r="I104" s="16" t="n"/>
      <c r="J104" s="16" t="n"/>
      <c r="K104" s="16" t="n"/>
      <c r="L104" s="16" t="n"/>
      <c r="M104" s="35">
        <f>IF(I104="","",HYPERLINK("https://www.google.com/maps/search/?api=1&amp;query="&amp;SUBSTITUTE(I104&amp;", "&amp;J104&amp;", Rio de Janeiro"," ","+"),"Abrir no Maps"))</f>
        <v/>
      </c>
    </row>
    <row r="105">
      <c r="A105" s="20">
        <f>IF(C105="","",TEXT(C105,"mmmm"))</f>
        <v/>
      </c>
      <c r="B105" s="20">
        <f>IF(C105="","","Semana "&amp;ROUNDUP(DAY(C105)/7,0))</f>
        <v/>
      </c>
      <c r="C105" s="36" t="n"/>
      <c r="D105" s="20">
        <f>IF(C105="","",TEXT(C105,"dddd"))</f>
        <v/>
      </c>
      <c r="E105" s="20" t="n"/>
      <c r="F105" s="20">
        <f>IF(G105&lt;&gt;"",IF(LEFT(UPPER(TRIM(G105)),1)="V","Drogaria Venancio",""),IF(H105&lt;&gt;"","Cristal",""))</f>
        <v/>
      </c>
      <c r="G105" s="20" t="n"/>
      <c r="H105" s="20" t="n"/>
      <c r="I105" s="20" t="n"/>
      <c r="J105" s="20" t="n"/>
      <c r="K105" s="20" t="n"/>
      <c r="L105" s="20" t="n"/>
      <c r="M105" s="37">
        <f>IF(I105="","",HYPERLINK("https://www.google.com/maps/search/?api=1&amp;query="&amp;SUBSTITUTE(I105&amp;", "&amp;J105&amp;", Rio de Janeiro"," ","+"),"Abrir no Maps"))</f>
        <v/>
      </c>
    </row>
    <row r="106">
      <c r="A106" s="16">
        <f>IF(C106="","",TEXT(C106,"mmmm"))</f>
        <v/>
      </c>
      <c r="B106" s="16">
        <f>IF(C106="","","Semana "&amp;ROUNDUP(DAY(C106)/7,0))</f>
        <v/>
      </c>
      <c r="C106" s="34" t="n"/>
      <c r="D106" s="16">
        <f>IF(C106="","",TEXT(C106,"dddd"))</f>
        <v/>
      </c>
      <c r="E106" s="16" t="n"/>
      <c r="F106" s="16">
        <f>IF(G106&lt;&gt;"",IF(LEFT(UPPER(TRIM(G106)),1)="V","Drogaria Venancio",""),IF(H106&lt;&gt;"","Cristal",""))</f>
        <v/>
      </c>
      <c r="G106" s="16" t="n"/>
      <c r="H106" s="16" t="n"/>
      <c r="I106" s="16" t="n"/>
      <c r="J106" s="16" t="n"/>
      <c r="K106" s="16" t="n"/>
      <c r="L106" s="16" t="n"/>
      <c r="M106" s="35">
        <f>IF(I106="","",HYPERLINK("https://www.google.com/maps/search/?api=1&amp;query="&amp;SUBSTITUTE(I106&amp;", "&amp;J106&amp;", Rio de Janeiro"," ","+"),"Abrir no Maps"))</f>
        <v/>
      </c>
    </row>
    <row r="107">
      <c r="A107" s="20">
        <f>IF(C107="","",TEXT(C107,"mmmm"))</f>
        <v/>
      </c>
      <c r="B107" s="20">
        <f>IF(C107="","","Semana "&amp;ROUNDUP(DAY(C107)/7,0))</f>
        <v/>
      </c>
      <c r="C107" s="36" t="n"/>
      <c r="D107" s="20">
        <f>IF(C107="","",TEXT(C107,"dddd"))</f>
        <v/>
      </c>
      <c r="E107" s="20" t="n"/>
      <c r="F107" s="20">
        <f>IF(G107&lt;&gt;"",IF(LEFT(UPPER(TRIM(G107)),1)="V","Drogaria Venancio",""),IF(H107&lt;&gt;"","Cristal",""))</f>
        <v/>
      </c>
      <c r="G107" s="20" t="n"/>
      <c r="H107" s="20" t="n"/>
      <c r="I107" s="20" t="n"/>
      <c r="J107" s="20" t="n"/>
      <c r="K107" s="20" t="n"/>
      <c r="L107" s="20" t="n"/>
      <c r="M107" s="37">
        <f>IF(I107="","",HYPERLINK("https://www.google.com/maps/search/?api=1&amp;query="&amp;SUBSTITUTE(I107&amp;", "&amp;J107&amp;", Rio de Janeiro"," ","+"),"Abrir no Maps"))</f>
        <v/>
      </c>
    </row>
    <row r="108">
      <c r="A108" s="16">
        <f>IF(C108="","",TEXT(C108,"mmmm"))</f>
        <v/>
      </c>
      <c r="B108" s="16">
        <f>IF(C108="","","Semana "&amp;ROUNDUP(DAY(C108)/7,0))</f>
        <v/>
      </c>
      <c r="C108" s="34" t="n"/>
      <c r="D108" s="16">
        <f>IF(C108="","",TEXT(C108,"dddd"))</f>
        <v/>
      </c>
      <c r="E108" s="16" t="n"/>
      <c r="F108" s="16">
        <f>IF(G108&lt;&gt;"",IF(LEFT(UPPER(TRIM(G108)),1)="V","Drogaria Venancio",""),IF(H108&lt;&gt;"","Cristal",""))</f>
        <v/>
      </c>
      <c r="G108" s="16" t="n"/>
      <c r="H108" s="16" t="n"/>
      <c r="I108" s="16" t="n"/>
      <c r="J108" s="16" t="n"/>
      <c r="K108" s="16" t="n"/>
      <c r="L108" s="16" t="n"/>
      <c r="M108" s="35">
        <f>IF(I108="","",HYPERLINK("https://www.google.com/maps/search/?api=1&amp;query="&amp;SUBSTITUTE(I108&amp;", "&amp;J108&amp;", Rio de Janeiro"," ","+"),"Abrir no Maps"))</f>
        <v/>
      </c>
    </row>
    <row r="109">
      <c r="A109" s="20">
        <f>IF(C109="","",TEXT(C109,"mmmm"))</f>
        <v/>
      </c>
      <c r="B109" s="20">
        <f>IF(C109="","","Semana "&amp;ROUNDUP(DAY(C109)/7,0))</f>
        <v/>
      </c>
      <c r="C109" s="36" t="n"/>
      <c r="D109" s="20">
        <f>IF(C109="","",TEXT(C109,"dddd"))</f>
        <v/>
      </c>
      <c r="E109" s="20" t="n"/>
      <c r="F109" s="20">
        <f>IF(G109&lt;&gt;"",IF(LEFT(UPPER(TRIM(G109)),1)="V","Drogaria Venancio",""),IF(H109&lt;&gt;"","Cristal",""))</f>
        <v/>
      </c>
      <c r="G109" s="20" t="n"/>
      <c r="H109" s="20" t="n"/>
      <c r="I109" s="20" t="n"/>
      <c r="J109" s="20" t="n"/>
      <c r="K109" s="20" t="n"/>
      <c r="L109" s="20" t="n"/>
      <c r="M109" s="37">
        <f>IF(I109="","",HYPERLINK("https://www.google.com/maps/search/?api=1&amp;query="&amp;SUBSTITUTE(I109&amp;", "&amp;J109&amp;", Rio de Janeiro"," ","+"),"Abrir no Maps"))</f>
        <v/>
      </c>
    </row>
    <row r="110">
      <c r="A110" s="16">
        <f>IF(C110="","",TEXT(C110,"mmmm"))</f>
        <v/>
      </c>
      <c r="B110" s="16">
        <f>IF(C110="","","Semana "&amp;ROUNDUP(DAY(C110)/7,0))</f>
        <v/>
      </c>
      <c r="C110" s="34" t="n"/>
      <c r="D110" s="16">
        <f>IF(C110="","",TEXT(C110,"dddd"))</f>
        <v/>
      </c>
      <c r="E110" s="16" t="n"/>
      <c r="F110" s="16">
        <f>IF(G110&lt;&gt;"",IF(LEFT(UPPER(TRIM(G110)),1)="V","Drogaria Venancio",""),IF(H110&lt;&gt;"","Cristal",""))</f>
        <v/>
      </c>
      <c r="G110" s="16" t="n"/>
      <c r="H110" s="16" t="n"/>
      <c r="I110" s="16" t="n"/>
      <c r="J110" s="16" t="n"/>
      <c r="K110" s="16" t="n"/>
      <c r="L110" s="16" t="n"/>
      <c r="M110" s="35">
        <f>IF(I110="","",HYPERLINK("https://www.google.com/maps/search/?api=1&amp;query="&amp;SUBSTITUTE(I110&amp;", "&amp;J110&amp;", Rio de Janeiro"," ","+"),"Abrir no Maps"))</f>
        <v/>
      </c>
    </row>
    <row r="111">
      <c r="A111" s="20">
        <f>IF(C111="","",TEXT(C111,"mmmm"))</f>
        <v/>
      </c>
      <c r="B111" s="20">
        <f>IF(C111="","","Semana "&amp;ROUNDUP(DAY(C111)/7,0))</f>
        <v/>
      </c>
      <c r="C111" s="36" t="n"/>
      <c r="D111" s="20">
        <f>IF(C111="","",TEXT(C111,"dddd"))</f>
        <v/>
      </c>
      <c r="E111" s="20" t="n"/>
      <c r="F111" s="20">
        <f>IF(G111&lt;&gt;"",IF(LEFT(UPPER(TRIM(G111)),1)="V","Drogaria Venancio",""),IF(H111&lt;&gt;"","Cristal",""))</f>
        <v/>
      </c>
      <c r="G111" s="20" t="n"/>
      <c r="H111" s="20" t="n"/>
      <c r="I111" s="20" t="n"/>
      <c r="J111" s="20" t="n"/>
      <c r="K111" s="20" t="n"/>
      <c r="L111" s="20" t="n"/>
      <c r="M111" s="37">
        <f>IF(I111="","",HYPERLINK("https://www.google.com/maps/search/?api=1&amp;query="&amp;SUBSTITUTE(I111&amp;", "&amp;J111&amp;", Rio de Janeiro"," ","+"),"Abrir no Maps"))</f>
        <v/>
      </c>
    </row>
    <row r="112">
      <c r="A112" s="16">
        <f>IF(C112="","",TEXT(C112,"mmmm"))</f>
        <v/>
      </c>
      <c r="B112" s="16">
        <f>IF(C112="","","Semana "&amp;ROUNDUP(DAY(C112)/7,0))</f>
        <v/>
      </c>
      <c r="C112" s="34" t="n"/>
      <c r="D112" s="16">
        <f>IF(C112="","",TEXT(C112,"dddd"))</f>
        <v/>
      </c>
      <c r="E112" s="16" t="n"/>
      <c r="F112" s="16">
        <f>IF(G112&lt;&gt;"",IF(LEFT(UPPER(TRIM(G112)),1)="V","Drogaria Venancio",""),IF(H112&lt;&gt;"","Cristal",""))</f>
        <v/>
      </c>
      <c r="G112" s="16" t="n"/>
      <c r="H112" s="16" t="n"/>
      <c r="I112" s="16" t="n"/>
      <c r="J112" s="16" t="n"/>
      <c r="K112" s="16" t="n"/>
      <c r="L112" s="16" t="n"/>
      <c r="M112" s="35">
        <f>IF(I112="","",HYPERLINK("https://www.google.com/maps/search/?api=1&amp;query="&amp;SUBSTITUTE(I112&amp;", "&amp;J112&amp;", Rio de Janeiro"," ","+"),"Abrir no Maps"))</f>
        <v/>
      </c>
    </row>
    <row r="113">
      <c r="A113" s="20">
        <f>IF(C113="","",TEXT(C113,"mmmm"))</f>
        <v/>
      </c>
      <c r="B113" s="20">
        <f>IF(C113="","","Semana "&amp;ROUNDUP(DAY(C113)/7,0))</f>
        <v/>
      </c>
      <c r="C113" s="36" t="n"/>
      <c r="D113" s="20">
        <f>IF(C113="","",TEXT(C113,"dddd"))</f>
        <v/>
      </c>
      <c r="E113" s="20" t="n"/>
      <c r="F113" s="20">
        <f>IF(G113&lt;&gt;"",IF(LEFT(UPPER(TRIM(G113)),1)="V","Drogaria Venancio",""),IF(H113&lt;&gt;"","Cristal",""))</f>
        <v/>
      </c>
      <c r="G113" s="20" t="n"/>
      <c r="H113" s="20" t="n"/>
      <c r="I113" s="20" t="n"/>
      <c r="J113" s="20" t="n"/>
      <c r="K113" s="20" t="n"/>
      <c r="L113" s="20" t="n"/>
      <c r="M113" s="37">
        <f>IF(I113="","",HYPERLINK("https://www.google.com/maps/search/?api=1&amp;query="&amp;SUBSTITUTE(I113&amp;", "&amp;J113&amp;", Rio de Janeiro"," ","+"),"Abrir no Maps"))</f>
        <v/>
      </c>
    </row>
    <row r="114">
      <c r="A114" s="16">
        <f>IF(C114="","",TEXT(C114,"mmmm"))</f>
        <v/>
      </c>
      <c r="B114" s="16">
        <f>IF(C114="","","Semana "&amp;ROUNDUP(DAY(C114)/7,0))</f>
        <v/>
      </c>
      <c r="C114" s="34" t="n"/>
      <c r="D114" s="16">
        <f>IF(C114="","",TEXT(C114,"dddd"))</f>
        <v/>
      </c>
      <c r="E114" s="16" t="n"/>
      <c r="F114" s="16">
        <f>IF(G114&lt;&gt;"",IF(LEFT(UPPER(TRIM(G114)),1)="V","Drogaria Venancio",""),IF(H114&lt;&gt;"","Cristal",""))</f>
        <v/>
      </c>
      <c r="G114" s="16" t="n"/>
      <c r="H114" s="16" t="n"/>
      <c r="I114" s="16" t="n"/>
      <c r="J114" s="16" t="n"/>
      <c r="K114" s="16" t="n"/>
      <c r="L114" s="16" t="n"/>
      <c r="M114" s="35">
        <f>IF(I114="","",HYPERLINK("https://www.google.com/maps/search/?api=1&amp;query="&amp;SUBSTITUTE(I114&amp;", "&amp;J114&amp;", Rio de Janeiro"," ","+"),"Abrir no Maps"))</f>
        <v/>
      </c>
    </row>
    <row r="115">
      <c r="A115" s="20">
        <f>IF(C115="","",TEXT(C115,"mmmm"))</f>
        <v/>
      </c>
      <c r="B115" s="20">
        <f>IF(C115="","","Semana "&amp;ROUNDUP(DAY(C115)/7,0))</f>
        <v/>
      </c>
      <c r="C115" s="36" t="n"/>
      <c r="D115" s="20">
        <f>IF(C115="","",TEXT(C115,"dddd"))</f>
        <v/>
      </c>
      <c r="E115" s="20" t="n"/>
      <c r="F115" s="20">
        <f>IF(G115&lt;&gt;"",IF(LEFT(UPPER(TRIM(G115)),1)="V","Drogaria Venancio",""),IF(H115&lt;&gt;"","Cristal",""))</f>
        <v/>
      </c>
      <c r="G115" s="20" t="n"/>
      <c r="H115" s="20" t="n"/>
      <c r="I115" s="20" t="n"/>
      <c r="J115" s="20" t="n"/>
      <c r="K115" s="20" t="n"/>
      <c r="L115" s="20" t="n"/>
      <c r="M115" s="37">
        <f>IF(I115="","",HYPERLINK("https://www.google.com/maps/search/?api=1&amp;query="&amp;SUBSTITUTE(I115&amp;", "&amp;J115&amp;", Rio de Janeiro"," ","+"),"Abrir no Maps"))</f>
        <v/>
      </c>
    </row>
    <row r="116">
      <c r="A116" s="16">
        <f>IF(C116="","",TEXT(C116,"mmmm"))</f>
        <v/>
      </c>
      <c r="B116" s="16">
        <f>IF(C116="","","Semana "&amp;ROUNDUP(DAY(C116)/7,0))</f>
        <v/>
      </c>
      <c r="C116" s="34" t="n"/>
      <c r="D116" s="16">
        <f>IF(C116="","",TEXT(C116,"dddd"))</f>
        <v/>
      </c>
      <c r="E116" s="16" t="n"/>
      <c r="F116" s="16">
        <f>IF(G116&lt;&gt;"",IF(LEFT(UPPER(TRIM(G116)),1)="V","Drogaria Venancio",""),IF(H116&lt;&gt;"","Cristal",""))</f>
        <v/>
      </c>
      <c r="G116" s="16" t="n"/>
      <c r="H116" s="16" t="n"/>
      <c r="I116" s="16" t="n"/>
      <c r="J116" s="16" t="n"/>
      <c r="K116" s="16" t="n"/>
      <c r="L116" s="16" t="n"/>
      <c r="M116" s="35">
        <f>IF(I116="","",HYPERLINK("https://www.google.com/maps/search/?api=1&amp;query="&amp;SUBSTITUTE(I116&amp;", "&amp;J116&amp;", Rio de Janeiro"," ","+"),"Abrir no Maps"))</f>
        <v/>
      </c>
    </row>
    <row r="117">
      <c r="A117" s="20">
        <f>IF(C117="","",TEXT(C117,"mmmm"))</f>
        <v/>
      </c>
      <c r="B117" s="20">
        <f>IF(C117="","","Semana "&amp;ROUNDUP(DAY(C117)/7,0))</f>
        <v/>
      </c>
      <c r="C117" s="36" t="n"/>
      <c r="D117" s="20">
        <f>IF(C117="","",TEXT(C117,"dddd"))</f>
        <v/>
      </c>
      <c r="E117" s="20" t="n"/>
      <c r="F117" s="20">
        <f>IF(G117&lt;&gt;"",IF(LEFT(UPPER(TRIM(G117)),1)="V","Drogaria Venancio",""),IF(H117&lt;&gt;"","Cristal",""))</f>
        <v/>
      </c>
      <c r="G117" s="20" t="n"/>
      <c r="H117" s="20" t="n"/>
      <c r="I117" s="20" t="n"/>
      <c r="J117" s="20" t="n"/>
      <c r="K117" s="20" t="n"/>
      <c r="L117" s="20" t="n"/>
      <c r="M117" s="37">
        <f>IF(I117="","",HYPERLINK("https://www.google.com/maps/search/?api=1&amp;query="&amp;SUBSTITUTE(I117&amp;", "&amp;J117&amp;", Rio de Janeiro"," ","+"),"Abrir no Maps"))</f>
        <v/>
      </c>
    </row>
    <row r="118">
      <c r="A118" s="16">
        <f>IF(C118="","",TEXT(C118,"mmmm"))</f>
        <v/>
      </c>
      <c r="B118" s="16">
        <f>IF(C118="","","Semana "&amp;ROUNDUP(DAY(C118)/7,0))</f>
        <v/>
      </c>
      <c r="C118" s="34" t="n"/>
      <c r="D118" s="16">
        <f>IF(C118="","",TEXT(C118,"dddd"))</f>
        <v/>
      </c>
      <c r="E118" s="16" t="n"/>
      <c r="F118" s="16">
        <f>IF(G118&lt;&gt;"",IF(LEFT(UPPER(TRIM(G118)),1)="V","Drogaria Venancio",""),IF(H118&lt;&gt;"","Cristal",""))</f>
        <v/>
      </c>
      <c r="G118" s="16" t="n"/>
      <c r="H118" s="16" t="n"/>
      <c r="I118" s="16" t="n"/>
      <c r="J118" s="16" t="n"/>
      <c r="K118" s="16" t="n"/>
      <c r="L118" s="16" t="n"/>
      <c r="M118" s="35">
        <f>IF(I118="","",HYPERLINK("https://www.google.com/maps/search/?api=1&amp;query="&amp;SUBSTITUTE(I118&amp;", "&amp;J118&amp;", Rio de Janeiro"," ","+"),"Abrir no Maps"))</f>
        <v/>
      </c>
    </row>
    <row r="119">
      <c r="A119" s="20">
        <f>IF(C119="","",TEXT(C119,"mmmm"))</f>
        <v/>
      </c>
      <c r="B119" s="20">
        <f>IF(C119="","","Semana "&amp;ROUNDUP(DAY(C119)/7,0))</f>
        <v/>
      </c>
      <c r="C119" s="36" t="n"/>
      <c r="D119" s="20">
        <f>IF(C119="","",TEXT(C119,"dddd"))</f>
        <v/>
      </c>
      <c r="E119" s="20" t="n"/>
      <c r="F119" s="20">
        <f>IF(G119&lt;&gt;"",IF(LEFT(UPPER(TRIM(G119)),1)="V","Drogaria Venancio",""),IF(H119&lt;&gt;"","Cristal",""))</f>
        <v/>
      </c>
      <c r="G119" s="20" t="n"/>
      <c r="H119" s="20" t="n"/>
      <c r="I119" s="20" t="n"/>
      <c r="J119" s="20" t="n"/>
      <c r="K119" s="20" t="n"/>
      <c r="L119" s="20" t="n"/>
      <c r="M119" s="37">
        <f>IF(I119="","",HYPERLINK("https://www.google.com/maps/search/?api=1&amp;query="&amp;SUBSTITUTE(I119&amp;", "&amp;J119&amp;", Rio de Janeiro"," ","+"),"Abrir no Maps"))</f>
        <v/>
      </c>
    </row>
    <row r="120">
      <c r="A120" s="16">
        <f>IF(C120="","",TEXT(C120,"mmmm"))</f>
        <v/>
      </c>
      <c r="B120" s="16">
        <f>IF(C120="","","Semana "&amp;ROUNDUP(DAY(C120)/7,0))</f>
        <v/>
      </c>
      <c r="C120" s="34" t="n"/>
      <c r="D120" s="16">
        <f>IF(C120="","",TEXT(C120,"dddd"))</f>
        <v/>
      </c>
      <c r="E120" s="16" t="n"/>
      <c r="F120" s="16">
        <f>IF(G120&lt;&gt;"",IF(LEFT(UPPER(TRIM(G120)),1)="V","Drogaria Venancio",""),IF(H120&lt;&gt;"","Cristal",""))</f>
        <v/>
      </c>
      <c r="G120" s="16" t="n"/>
      <c r="H120" s="16" t="n"/>
      <c r="I120" s="16" t="n"/>
      <c r="J120" s="16" t="n"/>
      <c r="K120" s="16" t="n"/>
      <c r="L120" s="16" t="n"/>
      <c r="M120" s="35">
        <f>IF(I120="","",HYPERLINK("https://www.google.com/maps/search/?api=1&amp;query="&amp;SUBSTITUTE(I120&amp;", "&amp;J120&amp;", Rio de Janeiro"," ","+"),"Abrir no Maps"))</f>
        <v/>
      </c>
    </row>
    <row r="121">
      <c r="A121" s="20">
        <f>IF(C121="","",TEXT(C121,"mmmm"))</f>
        <v/>
      </c>
      <c r="B121" s="20">
        <f>IF(C121="","","Semana "&amp;ROUNDUP(DAY(C121)/7,0))</f>
        <v/>
      </c>
      <c r="C121" s="36" t="n"/>
      <c r="D121" s="20">
        <f>IF(C121="","",TEXT(C121,"dddd"))</f>
        <v/>
      </c>
      <c r="E121" s="20" t="n"/>
      <c r="F121" s="20">
        <f>IF(G121&lt;&gt;"",IF(LEFT(UPPER(TRIM(G121)),1)="V","Drogaria Venancio",""),IF(H121&lt;&gt;"","Cristal",""))</f>
        <v/>
      </c>
      <c r="G121" s="20" t="n"/>
      <c r="H121" s="20" t="n"/>
      <c r="I121" s="20" t="n"/>
      <c r="J121" s="20" t="n"/>
      <c r="K121" s="20" t="n"/>
      <c r="L121" s="20" t="n"/>
      <c r="M121" s="37">
        <f>IF(I121="","",HYPERLINK("https://www.google.com/maps/search/?api=1&amp;query="&amp;SUBSTITUTE(I121&amp;", "&amp;J121&amp;", Rio de Janeiro"," ","+"),"Abrir no Maps"))</f>
        <v/>
      </c>
    </row>
    <row r="122">
      <c r="A122" s="16">
        <f>IF(C122="","",TEXT(C122,"mmmm"))</f>
        <v/>
      </c>
      <c r="B122" s="16">
        <f>IF(C122="","","Semana "&amp;ROUNDUP(DAY(C122)/7,0))</f>
        <v/>
      </c>
      <c r="C122" s="34" t="n"/>
      <c r="D122" s="16">
        <f>IF(C122="","",TEXT(C122,"dddd"))</f>
        <v/>
      </c>
      <c r="E122" s="16" t="n"/>
      <c r="F122" s="16">
        <f>IF(G122&lt;&gt;"",IF(LEFT(UPPER(TRIM(G122)),1)="V","Drogaria Venancio",""),IF(H122&lt;&gt;"","Cristal",""))</f>
        <v/>
      </c>
      <c r="G122" s="16" t="n"/>
      <c r="H122" s="16" t="n"/>
      <c r="I122" s="16" t="n"/>
      <c r="J122" s="16" t="n"/>
      <c r="K122" s="16" t="n"/>
      <c r="L122" s="16" t="n"/>
      <c r="M122" s="35">
        <f>IF(I122="","",HYPERLINK("https://www.google.com/maps/search/?api=1&amp;query="&amp;SUBSTITUTE(I122&amp;", "&amp;J122&amp;", Rio de Janeiro"," ","+"),"Abrir no Maps"))</f>
        <v/>
      </c>
    </row>
    <row r="123">
      <c r="A123" s="20">
        <f>IF(C123="","",TEXT(C123,"mmmm"))</f>
        <v/>
      </c>
      <c r="B123" s="20">
        <f>IF(C123="","","Semana "&amp;ROUNDUP(DAY(C123)/7,0))</f>
        <v/>
      </c>
      <c r="C123" s="36" t="n"/>
      <c r="D123" s="20">
        <f>IF(C123="","",TEXT(C123,"dddd"))</f>
        <v/>
      </c>
      <c r="E123" s="20" t="n"/>
      <c r="F123" s="20">
        <f>IF(G123&lt;&gt;"",IF(LEFT(UPPER(TRIM(G123)),1)="V","Drogaria Venancio",""),IF(H123&lt;&gt;"","Cristal",""))</f>
        <v/>
      </c>
      <c r="G123" s="20" t="n"/>
      <c r="H123" s="20" t="n"/>
      <c r="I123" s="20" t="n"/>
      <c r="J123" s="20" t="n"/>
      <c r="K123" s="20" t="n"/>
      <c r="L123" s="20" t="n"/>
      <c r="M123" s="37">
        <f>IF(I123="","",HYPERLINK("https://www.google.com/maps/search/?api=1&amp;query="&amp;SUBSTITUTE(I123&amp;", "&amp;J123&amp;", Rio de Janeiro"," ","+"),"Abrir no Maps"))</f>
        <v/>
      </c>
    </row>
    <row r="124">
      <c r="A124" s="16">
        <f>IF(C124="","",TEXT(C124,"mmmm"))</f>
        <v/>
      </c>
      <c r="B124" s="16">
        <f>IF(C124="","","Semana "&amp;ROUNDUP(DAY(C124)/7,0))</f>
        <v/>
      </c>
      <c r="C124" s="34" t="n"/>
      <c r="D124" s="16">
        <f>IF(C124="","",TEXT(C124,"dddd"))</f>
        <v/>
      </c>
      <c r="E124" s="16" t="n"/>
      <c r="F124" s="16">
        <f>IF(G124&lt;&gt;"",IF(LEFT(UPPER(TRIM(G124)),1)="V","Drogaria Venancio",""),IF(H124&lt;&gt;"","Cristal",""))</f>
        <v/>
      </c>
      <c r="G124" s="16" t="n"/>
      <c r="H124" s="16" t="n"/>
      <c r="I124" s="16" t="n"/>
      <c r="J124" s="16" t="n"/>
      <c r="K124" s="16" t="n"/>
      <c r="L124" s="16" t="n"/>
      <c r="M124" s="35">
        <f>IF(I124="","",HYPERLINK("https://www.google.com/maps/search/?api=1&amp;query="&amp;SUBSTITUTE(I124&amp;", "&amp;J124&amp;", Rio de Janeiro"," ","+"),"Abrir no Maps"))</f>
        <v/>
      </c>
    </row>
    <row r="125">
      <c r="A125" s="20">
        <f>IF(C125="","",TEXT(C125,"mmmm"))</f>
        <v/>
      </c>
      <c r="B125" s="20">
        <f>IF(C125="","","Semana "&amp;ROUNDUP(DAY(C125)/7,0))</f>
        <v/>
      </c>
      <c r="C125" s="36" t="n"/>
      <c r="D125" s="20">
        <f>IF(C125="","",TEXT(C125,"dddd"))</f>
        <v/>
      </c>
      <c r="E125" s="20" t="n"/>
      <c r="F125" s="20">
        <f>IF(G125&lt;&gt;"",IF(LEFT(UPPER(TRIM(G125)),1)="V","Drogaria Venancio",""),IF(H125&lt;&gt;"","Cristal",""))</f>
        <v/>
      </c>
      <c r="G125" s="20" t="n"/>
      <c r="H125" s="20" t="n"/>
      <c r="I125" s="20" t="n"/>
      <c r="J125" s="20" t="n"/>
      <c r="K125" s="20" t="n"/>
      <c r="L125" s="20" t="n"/>
      <c r="M125" s="37">
        <f>IF(I125="","",HYPERLINK("https://www.google.com/maps/search/?api=1&amp;query="&amp;SUBSTITUTE(I125&amp;", "&amp;J125&amp;", Rio de Janeiro"," ","+"),"Abrir no Maps"))</f>
        <v/>
      </c>
    </row>
    <row r="126">
      <c r="A126" s="16">
        <f>IF(C126="","",TEXT(C126,"mmmm"))</f>
        <v/>
      </c>
      <c r="B126" s="16">
        <f>IF(C126="","","Semana "&amp;ROUNDUP(DAY(C126)/7,0))</f>
        <v/>
      </c>
      <c r="C126" s="34" t="n"/>
      <c r="D126" s="16">
        <f>IF(C126="","",TEXT(C126,"dddd"))</f>
        <v/>
      </c>
      <c r="E126" s="16" t="n"/>
      <c r="F126" s="16">
        <f>IF(G126&lt;&gt;"",IF(LEFT(UPPER(TRIM(G126)),1)="V","Drogaria Venancio",""),IF(H126&lt;&gt;"","Cristal",""))</f>
        <v/>
      </c>
      <c r="G126" s="16" t="n"/>
      <c r="H126" s="16" t="n"/>
      <c r="I126" s="16" t="n"/>
      <c r="J126" s="16" t="n"/>
      <c r="K126" s="16" t="n"/>
      <c r="L126" s="16" t="n"/>
      <c r="M126" s="35">
        <f>IF(I126="","",HYPERLINK("https://www.google.com/maps/search/?api=1&amp;query="&amp;SUBSTITUTE(I126&amp;", "&amp;J126&amp;", Rio de Janeiro"," ","+"),"Abrir no Maps"))</f>
        <v/>
      </c>
    </row>
    <row r="127">
      <c r="A127" s="20">
        <f>IF(C127="","",TEXT(C127,"mmmm"))</f>
        <v/>
      </c>
      <c r="B127" s="20">
        <f>IF(C127="","","Semana "&amp;ROUNDUP(DAY(C127)/7,0))</f>
        <v/>
      </c>
      <c r="C127" s="36" t="n"/>
      <c r="D127" s="20">
        <f>IF(C127="","",TEXT(C127,"dddd"))</f>
        <v/>
      </c>
      <c r="E127" s="20" t="n"/>
      <c r="F127" s="20">
        <f>IF(G127&lt;&gt;"",IF(LEFT(UPPER(TRIM(G127)),1)="V","Drogaria Venancio",""),IF(H127&lt;&gt;"","Cristal",""))</f>
        <v/>
      </c>
      <c r="G127" s="20" t="n"/>
      <c r="H127" s="20" t="n"/>
      <c r="I127" s="20" t="n"/>
      <c r="J127" s="20" t="n"/>
      <c r="K127" s="20" t="n"/>
      <c r="L127" s="20" t="n"/>
      <c r="M127" s="37">
        <f>IF(I127="","",HYPERLINK("https://www.google.com/maps/search/?api=1&amp;query="&amp;SUBSTITUTE(I127&amp;", "&amp;J127&amp;", Rio de Janeiro"," ","+"),"Abrir no Maps"))</f>
        <v/>
      </c>
    </row>
    <row r="128">
      <c r="A128" s="16">
        <f>IF(C128="","",TEXT(C128,"mmmm"))</f>
        <v/>
      </c>
      <c r="B128" s="16">
        <f>IF(C128="","","Semana "&amp;ROUNDUP(DAY(C128)/7,0))</f>
        <v/>
      </c>
      <c r="C128" s="34" t="n"/>
      <c r="D128" s="16">
        <f>IF(C128="","",TEXT(C128,"dddd"))</f>
        <v/>
      </c>
      <c r="E128" s="16" t="n"/>
      <c r="F128" s="16">
        <f>IF(G128&lt;&gt;"",IF(LEFT(UPPER(TRIM(G128)),1)="V","Drogaria Venancio",""),IF(H128&lt;&gt;"","Cristal",""))</f>
        <v/>
      </c>
      <c r="G128" s="16" t="n"/>
      <c r="H128" s="16" t="n"/>
      <c r="I128" s="16" t="n"/>
      <c r="J128" s="16" t="n"/>
      <c r="K128" s="16" t="n"/>
      <c r="L128" s="16" t="n"/>
      <c r="M128" s="35">
        <f>IF(I128="","",HYPERLINK("https://www.google.com/maps/search/?api=1&amp;query="&amp;SUBSTITUTE(I128&amp;", "&amp;J128&amp;", Rio de Janeiro"," ","+"),"Abrir no Maps"))</f>
        <v/>
      </c>
    </row>
    <row r="129">
      <c r="A129" s="20">
        <f>IF(C129="","",TEXT(C129,"mmmm"))</f>
        <v/>
      </c>
      <c r="B129" s="20">
        <f>IF(C129="","","Semana "&amp;ROUNDUP(DAY(C129)/7,0))</f>
        <v/>
      </c>
      <c r="C129" s="36" t="n"/>
      <c r="D129" s="20">
        <f>IF(C129="","",TEXT(C129,"dddd"))</f>
        <v/>
      </c>
      <c r="E129" s="20" t="n"/>
      <c r="F129" s="20">
        <f>IF(G129&lt;&gt;"",IF(LEFT(UPPER(TRIM(G129)),1)="V","Drogaria Venancio",""),IF(H129&lt;&gt;"","Cristal",""))</f>
        <v/>
      </c>
      <c r="G129" s="20" t="n"/>
      <c r="H129" s="20" t="n"/>
      <c r="I129" s="20" t="n"/>
      <c r="J129" s="20" t="n"/>
      <c r="K129" s="20" t="n"/>
      <c r="L129" s="20" t="n"/>
      <c r="M129" s="37">
        <f>IF(I129="","",HYPERLINK("https://www.google.com/maps/search/?api=1&amp;query="&amp;SUBSTITUTE(I129&amp;", "&amp;J129&amp;", Rio de Janeiro"," ","+"),"Abrir no Maps"))</f>
        <v/>
      </c>
    </row>
    <row r="130">
      <c r="A130" s="16">
        <f>IF(C130="","",TEXT(C130,"mmmm"))</f>
        <v/>
      </c>
      <c r="B130" s="16">
        <f>IF(C130="","","Semana "&amp;ROUNDUP(DAY(C130)/7,0))</f>
        <v/>
      </c>
      <c r="C130" s="34" t="n"/>
      <c r="D130" s="16">
        <f>IF(C130="","",TEXT(C130,"dddd"))</f>
        <v/>
      </c>
      <c r="E130" s="16" t="n"/>
      <c r="F130" s="16">
        <f>IF(G130&lt;&gt;"",IF(LEFT(UPPER(TRIM(G130)),1)="V","Drogaria Venancio",""),IF(H130&lt;&gt;"","Cristal",""))</f>
        <v/>
      </c>
      <c r="G130" s="16" t="n"/>
      <c r="H130" s="16" t="n"/>
      <c r="I130" s="16" t="n"/>
      <c r="J130" s="16" t="n"/>
      <c r="K130" s="16" t="n"/>
      <c r="L130" s="16" t="n"/>
      <c r="M130" s="35">
        <f>IF(I130="","",HYPERLINK("https://www.google.com/maps/search/?api=1&amp;query="&amp;SUBSTITUTE(I130&amp;", "&amp;J130&amp;", Rio de Janeiro"," ","+"),"Abrir no Maps"))</f>
        <v/>
      </c>
    </row>
    <row r="131">
      <c r="A131" s="20">
        <f>IF(C131="","",TEXT(C131,"mmmm"))</f>
        <v/>
      </c>
      <c r="B131" s="20">
        <f>IF(C131="","","Semana "&amp;ROUNDUP(DAY(C131)/7,0))</f>
        <v/>
      </c>
      <c r="C131" s="36" t="n"/>
      <c r="D131" s="20">
        <f>IF(C131="","",TEXT(C131,"dddd"))</f>
        <v/>
      </c>
      <c r="E131" s="20" t="n"/>
      <c r="F131" s="20">
        <f>IF(G131&lt;&gt;"",IF(LEFT(UPPER(TRIM(G131)),1)="V","Drogaria Venancio",""),IF(H131&lt;&gt;"","Cristal",""))</f>
        <v/>
      </c>
      <c r="G131" s="20" t="n"/>
      <c r="H131" s="20" t="n"/>
      <c r="I131" s="20" t="n"/>
      <c r="J131" s="20" t="n"/>
      <c r="K131" s="20" t="n"/>
      <c r="L131" s="20" t="n"/>
      <c r="M131" s="37">
        <f>IF(I131="","",HYPERLINK("https://www.google.com/maps/search/?api=1&amp;query="&amp;SUBSTITUTE(I131&amp;", "&amp;J131&amp;", Rio de Janeiro"," ","+"),"Abrir no Maps"))</f>
        <v/>
      </c>
    </row>
    <row r="132">
      <c r="A132" s="16">
        <f>IF(C132="","",TEXT(C132,"mmmm"))</f>
        <v/>
      </c>
      <c r="B132" s="16">
        <f>IF(C132="","","Semana "&amp;ROUNDUP(DAY(C132)/7,0))</f>
        <v/>
      </c>
      <c r="C132" s="34" t="n"/>
      <c r="D132" s="16">
        <f>IF(C132="","",TEXT(C132,"dddd"))</f>
        <v/>
      </c>
      <c r="E132" s="16" t="n"/>
      <c r="F132" s="16">
        <f>IF(G132&lt;&gt;"",IF(LEFT(UPPER(TRIM(G132)),1)="V","Drogaria Venancio",""),IF(H132&lt;&gt;"","Cristal",""))</f>
        <v/>
      </c>
      <c r="G132" s="16" t="n"/>
      <c r="H132" s="16" t="n"/>
      <c r="I132" s="16" t="n"/>
      <c r="J132" s="16" t="n"/>
      <c r="K132" s="16" t="n"/>
      <c r="L132" s="16" t="n"/>
      <c r="M132" s="35">
        <f>IF(I132="","",HYPERLINK("https://www.google.com/maps/search/?api=1&amp;query="&amp;SUBSTITUTE(I132&amp;", "&amp;J132&amp;", Rio de Janeiro"," ","+"),"Abrir no Maps"))</f>
        <v/>
      </c>
    </row>
    <row r="133">
      <c r="A133" s="20">
        <f>IF(C133="","",TEXT(C133,"mmmm"))</f>
        <v/>
      </c>
      <c r="B133" s="20">
        <f>IF(C133="","","Semana "&amp;ROUNDUP(DAY(C133)/7,0))</f>
        <v/>
      </c>
      <c r="C133" s="36" t="n"/>
      <c r="D133" s="20">
        <f>IF(C133="","",TEXT(C133,"dddd"))</f>
        <v/>
      </c>
      <c r="E133" s="20" t="n"/>
      <c r="F133" s="20">
        <f>IF(G133&lt;&gt;"",IF(LEFT(UPPER(TRIM(G133)),1)="V","Drogaria Venancio",""),IF(H133&lt;&gt;"","Cristal",""))</f>
        <v/>
      </c>
      <c r="G133" s="20" t="n"/>
      <c r="H133" s="20" t="n"/>
      <c r="I133" s="20" t="n"/>
      <c r="J133" s="20" t="n"/>
      <c r="K133" s="20" t="n"/>
      <c r="L133" s="20" t="n"/>
      <c r="M133" s="37">
        <f>IF(I133="","",HYPERLINK("https://www.google.com/maps/search/?api=1&amp;query="&amp;SUBSTITUTE(I133&amp;", "&amp;J133&amp;", Rio de Janeiro"," ","+"),"Abrir no Maps"))</f>
        <v/>
      </c>
    </row>
    <row r="134">
      <c r="A134" s="16">
        <f>IF(C134="","",TEXT(C134,"mmmm"))</f>
        <v/>
      </c>
      <c r="B134" s="16">
        <f>IF(C134="","","Semana "&amp;ROUNDUP(DAY(C134)/7,0))</f>
        <v/>
      </c>
      <c r="C134" s="34" t="n"/>
      <c r="D134" s="16">
        <f>IF(C134="","",TEXT(C134,"dddd"))</f>
        <v/>
      </c>
      <c r="E134" s="16" t="n"/>
      <c r="F134" s="16">
        <f>IF(G134&lt;&gt;"",IF(LEFT(UPPER(TRIM(G134)),1)="V","Drogaria Venancio",""),IF(H134&lt;&gt;"","Cristal",""))</f>
        <v/>
      </c>
      <c r="G134" s="16" t="n"/>
      <c r="H134" s="16" t="n"/>
      <c r="I134" s="16" t="n"/>
      <c r="J134" s="16" t="n"/>
      <c r="K134" s="16" t="n"/>
      <c r="L134" s="16" t="n"/>
      <c r="M134" s="35">
        <f>IF(I134="","",HYPERLINK("https://www.google.com/maps/search/?api=1&amp;query="&amp;SUBSTITUTE(I134&amp;", "&amp;J134&amp;", Rio de Janeiro"," ","+"),"Abrir no Maps"))</f>
        <v/>
      </c>
    </row>
    <row r="135">
      <c r="A135" s="20">
        <f>IF(C135="","",TEXT(C135,"mmmm"))</f>
        <v/>
      </c>
      <c r="B135" s="20">
        <f>IF(C135="","","Semana "&amp;ROUNDUP(DAY(C135)/7,0))</f>
        <v/>
      </c>
      <c r="C135" s="36" t="n"/>
      <c r="D135" s="20">
        <f>IF(C135="","",TEXT(C135,"dddd"))</f>
        <v/>
      </c>
      <c r="E135" s="20" t="n"/>
      <c r="F135" s="20">
        <f>IF(G135&lt;&gt;"",IF(LEFT(UPPER(TRIM(G135)),1)="V","Drogaria Venancio",""),IF(H135&lt;&gt;"","Cristal",""))</f>
        <v/>
      </c>
      <c r="G135" s="20" t="n"/>
      <c r="H135" s="20" t="n"/>
      <c r="I135" s="20" t="n"/>
      <c r="J135" s="20" t="n"/>
      <c r="K135" s="20" t="n"/>
      <c r="L135" s="20" t="n"/>
      <c r="M135" s="37">
        <f>IF(I135="","",HYPERLINK("https://www.google.com/maps/search/?api=1&amp;query="&amp;SUBSTITUTE(I135&amp;", "&amp;J135&amp;", Rio de Janeiro"," ","+"),"Abrir no Maps"))</f>
        <v/>
      </c>
    </row>
    <row r="136">
      <c r="A136" s="16">
        <f>IF(C136="","",TEXT(C136,"mmmm"))</f>
        <v/>
      </c>
      <c r="B136" s="16">
        <f>IF(C136="","","Semana "&amp;ROUNDUP(DAY(C136)/7,0))</f>
        <v/>
      </c>
      <c r="C136" s="34" t="n"/>
      <c r="D136" s="16">
        <f>IF(C136="","",TEXT(C136,"dddd"))</f>
        <v/>
      </c>
      <c r="E136" s="16" t="n"/>
      <c r="F136" s="16">
        <f>IF(G136&lt;&gt;"",IF(LEFT(UPPER(TRIM(G136)),1)="V","Drogaria Venancio",""),IF(H136&lt;&gt;"","Cristal",""))</f>
        <v/>
      </c>
      <c r="G136" s="16" t="n"/>
      <c r="H136" s="16" t="n"/>
      <c r="I136" s="16" t="n"/>
      <c r="J136" s="16" t="n"/>
      <c r="K136" s="16" t="n"/>
      <c r="L136" s="16" t="n"/>
      <c r="M136" s="35">
        <f>IF(I136="","",HYPERLINK("https://www.google.com/maps/search/?api=1&amp;query="&amp;SUBSTITUTE(I136&amp;", "&amp;J136&amp;", Rio de Janeiro"," ","+"),"Abrir no Maps"))</f>
        <v/>
      </c>
    </row>
    <row r="137">
      <c r="A137" s="20">
        <f>IF(C137="","",TEXT(C137,"mmmm"))</f>
        <v/>
      </c>
      <c r="B137" s="20">
        <f>IF(C137="","","Semana "&amp;ROUNDUP(DAY(C137)/7,0))</f>
        <v/>
      </c>
      <c r="C137" s="36" t="n"/>
      <c r="D137" s="20">
        <f>IF(C137="","",TEXT(C137,"dddd"))</f>
        <v/>
      </c>
      <c r="E137" s="20" t="n"/>
      <c r="F137" s="20">
        <f>IF(G137&lt;&gt;"",IF(LEFT(UPPER(TRIM(G137)),1)="V","Drogaria Venancio",""),IF(H137&lt;&gt;"","Cristal",""))</f>
        <v/>
      </c>
      <c r="G137" s="20" t="n"/>
      <c r="H137" s="20" t="n"/>
      <c r="I137" s="20" t="n"/>
      <c r="J137" s="20" t="n"/>
      <c r="K137" s="20" t="n"/>
      <c r="L137" s="20" t="n"/>
      <c r="M137" s="37">
        <f>IF(I137="","",HYPERLINK("https://www.google.com/maps/search/?api=1&amp;query="&amp;SUBSTITUTE(I137&amp;", "&amp;J137&amp;", Rio de Janeiro"," ","+"),"Abrir no Maps"))</f>
        <v/>
      </c>
    </row>
    <row r="138">
      <c r="A138" s="16">
        <f>IF(C138="","",TEXT(C138,"mmmm"))</f>
        <v/>
      </c>
      <c r="B138" s="16">
        <f>IF(C138="","","Semana "&amp;ROUNDUP(DAY(C138)/7,0))</f>
        <v/>
      </c>
      <c r="C138" s="34" t="n"/>
      <c r="D138" s="16">
        <f>IF(C138="","",TEXT(C138,"dddd"))</f>
        <v/>
      </c>
      <c r="E138" s="16" t="n"/>
      <c r="F138" s="16">
        <f>IF(G138&lt;&gt;"",IF(LEFT(UPPER(TRIM(G138)),1)="V","Drogaria Venancio",""),IF(H138&lt;&gt;"","Cristal",""))</f>
        <v/>
      </c>
      <c r="G138" s="16" t="n"/>
      <c r="H138" s="16" t="n"/>
      <c r="I138" s="16" t="n"/>
      <c r="J138" s="16" t="n"/>
      <c r="K138" s="16" t="n"/>
      <c r="L138" s="16" t="n"/>
      <c r="M138" s="35">
        <f>IF(I138="","",HYPERLINK("https://www.google.com/maps/search/?api=1&amp;query="&amp;SUBSTITUTE(I138&amp;", "&amp;J138&amp;", Rio de Janeiro"," ","+"),"Abrir no Maps"))</f>
        <v/>
      </c>
    </row>
    <row r="139">
      <c r="A139" s="20">
        <f>IF(C139="","",TEXT(C139,"mmmm"))</f>
        <v/>
      </c>
      <c r="B139" s="20">
        <f>IF(C139="","","Semana "&amp;ROUNDUP(DAY(C139)/7,0))</f>
        <v/>
      </c>
      <c r="C139" s="36" t="n"/>
      <c r="D139" s="20">
        <f>IF(C139="","",TEXT(C139,"dddd"))</f>
        <v/>
      </c>
      <c r="E139" s="20" t="n"/>
      <c r="F139" s="20">
        <f>IF(G139&lt;&gt;"",IF(LEFT(UPPER(TRIM(G139)),1)="V","Drogaria Venancio",""),IF(H139&lt;&gt;"","Cristal",""))</f>
        <v/>
      </c>
      <c r="G139" s="20" t="n"/>
      <c r="H139" s="20" t="n"/>
      <c r="I139" s="20" t="n"/>
      <c r="J139" s="20" t="n"/>
      <c r="K139" s="20" t="n"/>
      <c r="L139" s="20" t="n"/>
      <c r="M139" s="37">
        <f>IF(I139="","",HYPERLINK("https://www.google.com/maps/search/?api=1&amp;query="&amp;SUBSTITUTE(I139&amp;", "&amp;J139&amp;", Rio de Janeiro"," ","+"),"Abrir no Maps"))</f>
        <v/>
      </c>
    </row>
    <row r="140">
      <c r="A140" s="16">
        <f>IF(C140="","",TEXT(C140,"mmmm"))</f>
        <v/>
      </c>
      <c r="B140" s="16">
        <f>IF(C140="","","Semana "&amp;ROUNDUP(DAY(C140)/7,0))</f>
        <v/>
      </c>
      <c r="C140" s="34" t="n"/>
      <c r="D140" s="16">
        <f>IF(C140="","",TEXT(C140,"dddd"))</f>
        <v/>
      </c>
      <c r="E140" s="16" t="n"/>
      <c r="F140" s="16">
        <f>IF(G140&lt;&gt;"",IF(LEFT(UPPER(TRIM(G140)),1)="V","Drogaria Venancio",""),IF(H140&lt;&gt;"","Cristal",""))</f>
        <v/>
      </c>
      <c r="G140" s="16" t="n"/>
      <c r="H140" s="16" t="n"/>
      <c r="I140" s="16" t="n"/>
      <c r="J140" s="16" t="n"/>
      <c r="K140" s="16" t="n"/>
      <c r="L140" s="16" t="n"/>
      <c r="M140" s="35">
        <f>IF(I140="","",HYPERLINK("https://www.google.com/maps/search/?api=1&amp;query="&amp;SUBSTITUTE(I140&amp;", "&amp;J140&amp;", Rio de Janeiro"," ","+"),"Abrir no Maps"))</f>
        <v/>
      </c>
    </row>
    <row r="141">
      <c r="A141" s="20">
        <f>IF(C141="","",TEXT(C141,"mmmm"))</f>
        <v/>
      </c>
      <c r="B141" s="20">
        <f>IF(C141="","","Semana "&amp;ROUNDUP(DAY(C141)/7,0))</f>
        <v/>
      </c>
      <c r="C141" s="36" t="n"/>
      <c r="D141" s="20">
        <f>IF(C141="","",TEXT(C141,"dddd"))</f>
        <v/>
      </c>
      <c r="E141" s="20" t="n"/>
      <c r="F141" s="20">
        <f>IF(G141&lt;&gt;"",IF(LEFT(UPPER(TRIM(G141)),1)="V","Drogaria Venancio",""),IF(H141&lt;&gt;"","Cristal",""))</f>
        <v/>
      </c>
      <c r="G141" s="20" t="n"/>
      <c r="H141" s="20" t="n"/>
      <c r="I141" s="20" t="n"/>
      <c r="J141" s="20" t="n"/>
      <c r="K141" s="20" t="n"/>
      <c r="L141" s="20" t="n"/>
      <c r="M141" s="37">
        <f>IF(I141="","",HYPERLINK("https://www.google.com/maps/search/?api=1&amp;query="&amp;SUBSTITUTE(I141&amp;", "&amp;J141&amp;", Rio de Janeiro"," ","+"),"Abrir no Maps"))</f>
        <v/>
      </c>
    </row>
    <row r="142">
      <c r="A142" s="16">
        <f>IF(C142="","",TEXT(C142,"mmmm"))</f>
        <v/>
      </c>
      <c r="B142" s="16">
        <f>IF(C142="","","Semana "&amp;ROUNDUP(DAY(C142)/7,0))</f>
        <v/>
      </c>
      <c r="C142" s="34" t="n"/>
      <c r="D142" s="16">
        <f>IF(C142="","",TEXT(C142,"dddd"))</f>
        <v/>
      </c>
      <c r="E142" s="16" t="n"/>
      <c r="F142" s="16">
        <f>IF(G142&lt;&gt;"",IF(LEFT(UPPER(TRIM(G142)),1)="V","Drogaria Venancio",""),IF(H142&lt;&gt;"","Cristal",""))</f>
        <v/>
      </c>
      <c r="G142" s="16" t="n"/>
      <c r="H142" s="16" t="n"/>
      <c r="I142" s="16" t="n"/>
      <c r="J142" s="16" t="n"/>
      <c r="K142" s="16" t="n"/>
      <c r="L142" s="16" t="n"/>
      <c r="M142" s="35">
        <f>IF(I142="","",HYPERLINK("https://www.google.com/maps/search/?api=1&amp;query="&amp;SUBSTITUTE(I142&amp;", "&amp;J142&amp;", Rio de Janeiro"," ","+"),"Abrir no Maps"))</f>
        <v/>
      </c>
    </row>
    <row r="143">
      <c r="A143" s="20">
        <f>IF(C143="","",TEXT(C143,"mmmm"))</f>
        <v/>
      </c>
      <c r="B143" s="20">
        <f>IF(C143="","","Semana "&amp;ROUNDUP(DAY(C143)/7,0))</f>
        <v/>
      </c>
      <c r="C143" s="36" t="n"/>
      <c r="D143" s="20">
        <f>IF(C143="","",TEXT(C143,"dddd"))</f>
        <v/>
      </c>
      <c r="E143" s="20" t="n"/>
      <c r="F143" s="20">
        <f>IF(G143&lt;&gt;"",IF(LEFT(UPPER(TRIM(G143)),1)="V","Drogaria Venancio",""),IF(H143&lt;&gt;"","Cristal",""))</f>
        <v/>
      </c>
      <c r="G143" s="20" t="n"/>
      <c r="H143" s="20" t="n"/>
      <c r="I143" s="20" t="n"/>
      <c r="J143" s="20" t="n"/>
      <c r="K143" s="20" t="n"/>
      <c r="L143" s="20" t="n"/>
      <c r="M143" s="37">
        <f>IF(I143="","",HYPERLINK("https://www.google.com/maps/search/?api=1&amp;query="&amp;SUBSTITUTE(I143&amp;", "&amp;J143&amp;", Rio de Janeiro"," ","+"),"Abrir no Maps"))</f>
        <v/>
      </c>
    </row>
    <row r="144">
      <c r="A144" s="16">
        <f>IF(C144="","",TEXT(C144,"mmmm"))</f>
        <v/>
      </c>
      <c r="B144" s="16">
        <f>IF(C144="","","Semana "&amp;ROUNDUP(DAY(C144)/7,0))</f>
        <v/>
      </c>
      <c r="C144" s="34" t="n"/>
      <c r="D144" s="16">
        <f>IF(C144="","",TEXT(C144,"dddd"))</f>
        <v/>
      </c>
      <c r="E144" s="16" t="n"/>
      <c r="F144" s="16">
        <f>IF(G144&lt;&gt;"",IF(LEFT(UPPER(TRIM(G144)),1)="V","Drogaria Venancio",""),IF(H144&lt;&gt;"","Cristal",""))</f>
        <v/>
      </c>
      <c r="G144" s="16" t="n"/>
      <c r="H144" s="16" t="n"/>
      <c r="I144" s="16" t="n"/>
      <c r="J144" s="16" t="n"/>
      <c r="K144" s="16" t="n"/>
      <c r="L144" s="16" t="n"/>
      <c r="M144" s="35">
        <f>IF(I144="","",HYPERLINK("https://www.google.com/maps/search/?api=1&amp;query="&amp;SUBSTITUTE(I144&amp;", "&amp;J144&amp;", Rio de Janeiro"," ","+"),"Abrir no Maps"))</f>
        <v/>
      </c>
    </row>
    <row r="145">
      <c r="A145" s="20">
        <f>IF(C145="","",TEXT(C145,"mmmm"))</f>
        <v/>
      </c>
      <c r="B145" s="20">
        <f>IF(C145="","","Semana "&amp;ROUNDUP(DAY(C145)/7,0))</f>
        <v/>
      </c>
      <c r="C145" s="36" t="n"/>
      <c r="D145" s="20">
        <f>IF(C145="","",TEXT(C145,"dddd"))</f>
        <v/>
      </c>
      <c r="E145" s="20" t="n"/>
      <c r="F145" s="20">
        <f>IF(G145&lt;&gt;"",IF(LEFT(UPPER(TRIM(G145)),1)="V","Drogaria Venancio",""),IF(H145&lt;&gt;"","Cristal",""))</f>
        <v/>
      </c>
      <c r="G145" s="20" t="n"/>
      <c r="H145" s="20" t="n"/>
      <c r="I145" s="20" t="n"/>
      <c r="J145" s="20" t="n"/>
      <c r="K145" s="20" t="n"/>
      <c r="L145" s="20" t="n"/>
      <c r="M145" s="37">
        <f>IF(I145="","",HYPERLINK("https://www.google.com/maps/search/?api=1&amp;query="&amp;SUBSTITUTE(I145&amp;", "&amp;J145&amp;", Rio de Janeiro"," ","+"),"Abrir no Maps"))</f>
        <v/>
      </c>
    </row>
    <row r="146">
      <c r="A146" s="16">
        <f>IF(C146="","",TEXT(C146,"mmmm"))</f>
        <v/>
      </c>
      <c r="B146" s="16">
        <f>IF(C146="","","Semana "&amp;ROUNDUP(DAY(C146)/7,0))</f>
        <v/>
      </c>
      <c r="C146" s="34" t="n"/>
      <c r="D146" s="16">
        <f>IF(C146="","",TEXT(C146,"dddd"))</f>
        <v/>
      </c>
      <c r="E146" s="16" t="n"/>
      <c r="F146" s="16">
        <f>IF(G146&lt;&gt;"",IF(LEFT(UPPER(TRIM(G146)),1)="V","Drogaria Venancio",""),IF(H146&lt;&gt;"","Cristal",""))</f>
        <v/>
      </c>
      <c r="G146" s="16" t="n"/>
      <c r="H146" s="16" t="n"/>
      <c r="I146" s="16" t="n"/>
      <c r="J146" s="16" t="n"/>
      <c r="K146" s="16" t="n"/>
      <c r="L146" s="16" t="n"/>
      <c r="M146" s="35">
        <f>IF(I146="","",HYPERLINK("https://www.google.com/maps/search/?api=1&amp;query="&amp;SUBSTITUTE(I146&amp;", "&amp;J146&amp;", Rio de Janeiro"," ","+"),"Abrir no Maps"))</f>
        <v/>
      </c>
    </row>
    <row r="147">
      <c r="A147" s="20">
        <f>IF(C147="","",TEXT(C147,"mmmm"))</f>
        <v/>
      </c>
      <c r="B147" s="20">
        <f>IF(C147="","","Semana "&amp;ROUNDUP(DAY(C147)/7,0))</f>
        <v/>
      </c>
      <c r="C147" s="36" t="n"/>
      <c r="D147" s="20">
        <f>IF(C147="","",TEXT(C147,"dddd"))</f>
        <v/>
      </c>
      <c r="E147" s="20" t="n"/>
      <c r="F147" s="20">
        <f>IF(G147&lt;&gt;"",IF(LEFT(UPPER(TRIM(G147)),1)="V","Drogaria Venancio",""),IF(H147&lt;&gt;"","Cristal",""))</f>
        <v/>
      </c>
      <c r="G147" s="20" t="n"/>
      <c r="H147" s="20" t="n"/>
      <c r="I147" s="20" t="n"/>
      <c r="J147" s="20" t="n"/>
      <c r="K147" s="20" t="n"/>
      <c r="L147" s="20" t="n"/>
      <c r="M147" s="37">
        <f>IF(I147="","",HYPERLINK("https://www.google.com/maps/search/?api=1&amp;query="&amp;SUBSTITUTE(I147&amp;", "&amp;J147&amp;", Rio de Janeiro"," ","+"),"Abrir no Maps"))</f>
        <v/>
      </c>
    </row>
    <row r="148">
      <c r="A148" s="16">
        <f>IF(C148="","",TEXT(C148,"mmmm"))</f>
        <v/>
      </c>
      <c r="B148" s="16">
        <f>IF(C148="","","Semana "&amp;ROUNDUP(DAY(C148)/7,0))</f>
        <v/>
      </c>
      <c r="C148" s="34" t="n"/>
      <c r="D148" s="16">
        <f>IF(C148="","",TEXT(C148,"dddd"))</f>
        <v/>
      </c>
      <c r="E148" s="16" t="n"/>
      <c r="F148" s="16">
        <f>IF(G148&lt;&gt;"",IF(LEFT(UPPER(TRIM(G148)),1)="V","Drogaria Venancio",""),IF(H148&lt;&gt;"","Cristal",""))</f>
        <v/>
      </c>
      <c r="G148" s="16" t="n"/>
      <c r="H148" s="16" t="n"/>
      <c r="I148" s="16" t="n"/>
      <c r="J148" s="16" t="n"/>
      <c r="K148" s="16" t="n"/>
      <c r="L148" s="16" t="n"/>
      <c r="M148" s="35">
        <f>IF(I148="","",HYPERLINK("https://www.google.com/maps/search/?api=1&amp;query="&amp;SUBSTITUTE(I148&amp;", "&amp;J148&amp;", Rio de Janeiro"," ","+"),"Abrir no Maps"))</f>
        <v/>
      </c>
    </row>
    <row r="149">
      <c r="A149" s="20">
        <f>IF(C149="","",TEXT(C149,"mmmm"))</f>
        <v/>
      </c>
      <c r="B149" s="20">
        <f>IF(C149="","","Semana "&amp;ROUNDUP(DAY(C149)/7,0))</f>
        <v/>
      </c>
      <c r="C149" s="36" t="n"/>
      <c r="D149" s="20">
        <f>IF(C149="","",TEXT(C149,"dddd"))</f>
        <v/>
      </c>
      <c r="E149" s="20" t="n"/>
      <c r="F149" s="20">
        <f>IF(G149&lt;&gt;"",IF(LEFT(UPPER(TRIM(G149)),1)="V","Drogaria Venancio",""),IF(H149&lt;&gt;"","Cristal",""))</f>
        <v/>
      </c>
      <c r="G149" s="20" t="n"/>
      <c r="H149" s="20" t="n"/>
      <c r="I149" s="20" t="n"/>
      <c r="J149" s="20" t="n"/>
      <c r="K149" s="20" t="n"/>
      <c r="L149" s="20" t="n"/>
      <c r="M149" s="37">
        <f>IF(I149="","",HYPERLINK("https://www.google.com/maps/search/?api=1&amp;query="&amp;SUBSTITUTE(I149&amp;", "&amp;J149&amp;", Rio de Janeiro"," ","+"),"Abrir no Maps"))</f>
        <v/>
      </c>
    </row>
    <row r="150">
      <c r="A150" s="16">
        <f>IF(C150="","",TEXT(C150,"mmmm"))</f>
        <v/>
      </c>
      <c r="B150" s="16">
        <f>IF(C150="","","Semana "&amp;ROUNDUP(DAY(C150)/7,0))</f>
        <v/>
      </c>
      <c r="C150" s="34" t="n"/>
      <c r="D150" s="16">
        <f>IF(C150="","",TEXT(C150,"dddd"))</f>
        <v/>
      </c>
      <c r="E150" s="16" t="n"/>
      <c r="F150" s="16">
        <f>IF(G150&lt;&gt;"",IF(LEFT(UPPER(TRIM(G150)),1)="V","Drogaria Venancio",""),IF(H150&lt;&gt;"","Cristal",""))</f>
        <v/>
      </c>
      <c r="G150" s="16" t="n"/>
      <c r="H150" s="16" t="n"/>
      <c r="I150" s="16" t="n"/>
      <c r="J150" s="16" t="n"/>
      <c r="K150" s="16" t="n"/>
      <c r="L150" s="16" t="n"/>
      <c r="M150" s="35">
        <f>IF(I150="","",HYPERLINK("https://www.google.com/maps/search/?api=1&amp;query="&amp;SUBSTITUTE(I150&amp;", "&amp;J150&amp;", Rio de Janeiro"," ","+"),"Abrir no Maps"))</f>
        <v/>
      </c>
    </row>
    <row r="151">
      <c r="A151" s="20">
        <f>IF(C151="","",TEXT(C151,"mmmm"))</f>
        <v/>
      </c>
      <c r="B151" s="20">
        <f>IF(C151="","","Semana "&amp;ROUNDUP(DAY(C151)/7,0))</f>
        <v/>
      </c>
      <c r="C151" s="36" t="n"/>
      <c r="D151" s="20">
        <f>IF(C151="","",TEXT(C151,"dddd"))</f>
        <v/>
      </c>
      <c r="E151" s="20" t="n"/>
      <c r="F151" s="20">
        <f>IF(G151&lt;&gt;"",IF(LEFT(UPPER(TRIM(G151)),1)="V","Drogaria Venancio",""),IF(H151&lt;&gt;"","Cristal",""))</f>
        <v/>
      </c>
      <c r="G151" s="20" t="n"/>
      <c r="H151" s="20" t="n"/>
      <c r="I151" s="20" t="n"/>
      <c r="J151" s="20" t="n"/>
      <c r="K151" s="20" t="n"/>
      <c r="L151" s="20" t="n"/>
      <c r="M151" s="37">
        <f>IF(I151="","",HYPERLINK("https://www.google.com/maps/search/?api=1&amp;query="&amp;SUBSTITUTE(I151&amp;", "&amp;J151&amp;", Rio de Janeiro"," ","+"),"Abrir no Maps"))</f>
        <v/>
      </c>
    </row>
    <row r="152">
      <c r="A152" s="16">
        <f>IF(C152="","",TEXT(C152,"mmmm"))</f>
        <v/>
      </c>
      <c r="B152" s="16">
        <f>IF(C152="","","Semana "&amp;ROUNDUP(DAY(C152)/7,0))</f>
        <v/>
      </c>
      <c r="C152" s="34" t="n"/>
      <c r="D152" s="16">
        <f>IF(C152="","",TEXT(C152,"dddd"))</f>
        <v/>
      </c>
      <c r="E152" s="16" t="n"/>
      <c r="F152" s="16">
        <f>IF(G152&lt;&gt;"",IF(LEFT(UPPER(TRIM(G152)),1)="V","Drogaria Venancio",""),IF(H152&lt;&gt;"","Cristal",""))</f>
        <v/>
      </c>
      <c r="G152" s="16" t="n"/>
      <c r="H152" s="16" t="n"/>
      <c r="I152" s="16" t="n"/>
      <c r="J152" s="16" t="n"/>
      <c r="K152" s="16" t="n"/>
      <c r="L152" s="16" t="n"/>
      <c r="M152" s="35">
        <f>IF(I152="","",HYPERLINK("https://www.google.com/maps/search/?api=1&amp;query="&amp;SUBSTITUTE(I152&amp;", "&amp;J152&amp;", Rio de Janeiro"," ","+"),"Abrir no Maps"))</f>
        <v/>
      </c>
    </row>
    <row r="153">
      <c r="A153" s="20">
        <f>IF(C153="","",TEXT(C153,"mmmm"))</f>
        <v/>
      </c>
      <c r="B153" s="20">
        <f>IF(C153="","","Semana "&amp;ROUNDUP(DAY(C153)/7,0))</f>
        <v/>
      </c>
      <c r="C153" s="36" t="n"/>
      <c r="D153" s="20">
        <f>IF(C153="","",TEXT(C153,"dddd"))</f>
        <v/>
      </c>
      <c r="E153" s="20" t="n"/>
      <c r="F153" s="20">
        <f>IF(G153&lt;&gt;"",IF(LEFT(UPPER(TRIM(G153)),1)="V","Drogaria Venancio",""),IF(H153&lt;&gt;"","Cristal",""))</f>
        <v/>
      </c>
      <c r="G153" s="20" t="n"/>
      <c r="H153" s="20" t="n"/>
      <c r="I153" s="20" t="n"/>
      <c r="J153" s="20" t="n"/>
      <c r="K153" s="20" t="n"/>
      <c r="L153" s="20" t="n"/>
      <c r="M153" s="37">
        <f>IF(I153="","",HYPERLINK("https://www.google.com/maps/search/?api=1&amp;query="&amp;SUBSTITUTE(I153&amp;", "&amp;J153&amp;", Rio de Janeiro"," ","+"),"Abrir no Maps"))</f>
        <v/>
      </c>
    </row>
    <row r="154">
      <c r="A154" s="16">
        <f>IF(C154="","",TEXT(C154,"mmmm"))</f>
        <v/>
      </c>
      <c r="B154" s="16">
        <f>IF(C154="","","Semana "&amp;ROUNDUP(DAY(C154)/7,0))</f>
        <v/>
      </c>
      <c r="C154" s="34" t="n"/>
      <c r="D154" s="16">
        <f>IF(C154="","",TEXT(C154,"dddd"))</f>
        <v/>
      </c>
      <c r="E154" s="16" t="n"/>
      <c r="F154" s="16">
        <f>IF(G154&lt;&gt;"",IF(LEFT(UPPER(TRIM(G154)),1)="V","Drogaria Venancio",""),IF(H154&lt;&gt;"","Cristal",""))</f>
        <v/>
      </c>
      <c r="G154" s="16" t="n"/>
      <c r="H154" s="16" t="n"/>
      <c r="I154" s="16" t="n"/>
      <c r="J154" s="16" t="n"/>
      <c r="K154" s="16" t="n"/>
      <c r="L154" s="16" t="n"/>
      <c r="M154" s="35">
        <f>IF(I154="","",HYPERLINK("https://www.google.com/maps/search/?api=1&amp;query="&amp;SUBSTITUTE(I154&amp;", "&amp;J154&amp;", Rio de Janeiro"," ","+"),"Abrir no Maps"))</f>
        <v/>
      </c>
    </row>
    <row r="155">
      <c r="A155" s="20">
        <f>IF(C155="","",TEXT(C155,"mmmm"))</f>
        <v/>
      </c>
      <c r="B155" s="20">
        <f>IF(C155="","","Semana "&amp;ROUNDUP(DAY(C155)/7,0))</f>
        <v/>
      </c>
      <c r="C155" s="36" t="n"/>
      <c r="D155" s="20">
        <f>IF(C155="","",TEXT(C155,"dddd"))</f>
        <v/>
      </c>
      <c r="E155" s="20" t="n"/>
      <c r="F155" s="20">
        <f>IF(G155&lt;&gt;"",IF(LEFT(UPPER(TRIM(G155)),1)="V","Drogaria Venancio",""),IF(H155&lt;&gt;"","Cristal",""))</f>
        <v/>
      </c>
      <c r="G155" s="20" t="n"/>
      <c r="H155" s="20" t="n"/>
      <c r="I155" s="20" t="n"/>
      <c r="J155" s="20" t="n"/>
      <c r="K155" s="20" t="n"/>
      <c r="L155" s="20" t="n"/>
      <c r="M155" s="37">
        <f>IF(I155="","",HYPERLINK("https://www.google.com/maps/search/?api=1&amp;query="&amp;SUBSTITUTE(I155&amp;", "&amp;J155&amp;", Rio de Janeiro"," ","+"),"Abrir no Maps"))</f>
        <v/>
      </c>
    </row>
    <row r="156">
      <c r="A156" s="16">
        <f>IF(C156="","",TEXT(C156,"mmmm"))</f>
        <v/>
      </c>
      <c r="B156" s="16">
        <f>IF(C156="","","Semana "&amp;ROUNDUP(DAY(C156)/7,0))</f>
        <v/>
      </c>
      <c r="C156" s="34" t="n"/>
      <c r="D156" s="16">
        <f>IF(C156="","",TEXT(C156,"dddd"))</f>
        <v/>
      </c>
      <c r="E156" s="16" t="n"/>
      <c r="F156" s="16">
        <f>IF(G156&lt;&gt;"",IF(LEFT(UPPER(TRIM(G156)),1)="V","Drogaria Venancio",""),IF(H156&lt;&gt;"","Cristal",""))</f>
        <v/>
      </c>
      <c r="G156" s="16" t="n"/>
      <c r="H156" s="16" t="n"/>
      <c r="I156" s="16" t="n"/>
      <c r="J156" s="16" t="n"/>
      <c r="K156" s="16" t="n"/>
      <c r="L156" s="16" t="n"/>
      <c r="M156" s="35">
        <f>IF(I156="","",HYPERLINK("https://www.google.com/maps/search/?api=1&amp;query="&amp;SUBSTITUTE(I156&amp;", "&amp;J156&amp;", Rio de Janeiro"," ","+"),"Abrir no Maps"))</f>
        <v/>
      </c>
    </row>
    <row r="157">
      <c r="A157" s="20">
        <f>IF(C157="","",TEXT(C157,"mmmm"))</f>
        <v/>
      </c>
      <c r="B157" s="20">
        <f>IF(C157="","","Semana "&amp;ROUNDUP(DAY(C157)/7,0))</f>
        <v/>
      </c>
      <c r="C157" s="36" t="n"/>
      <c r="D157" s="20">
        <f>IF(C157="","",TEXT(C157,"dddd"))</f>
        <v/>
      </c>
      <c r="E157" s="20" t="n"/>
      <c r="F157" s="20">
        <f>IF(G157&lt;&gt;"",IF(LEFT(UPPER(TRIM(G157)),1)="V","Drogaria Venancio",""),IF(H157&lt;&gt;"","Cristal",""))</f>
        <v/>
      </c>
      <c r="G157" s="20" t="n"/>
      <c r="H157" s="20" t="n"/>
      <c r="I157" s="20" t="n"/>
      <c r="J157" s="20" t="n"/>
      <c r="K157" s="20" t="n"/>
      <c r="L157" s="20" t="n"/>
      <c r="M157" s="37">
        <f>IF(I157="","",HYPERLINK("https://www.google.com/maps/search/?api=1&amp;query="&amp;SUBSTITUTE(I157&amp;", "&amp;J157&amp;", Rio de Janeiro"," ","+"),"Abrir no Maps"))</f>
        <v/>
      </c>
    </row>
    <row r="158">
      <c r="A158" s="16">
        <f>IF(C158="","",TEXT(C158,"mmmm"))</f>
        <v/>
      </c>
      <c r="B158" s="16">
        <f>IF(C158="","","Semana "&amp;ROUNDUP(DAY(C158)/7,0))</f>
        <v/>
      </c>
      <c r="C158" s="34" t="n"/>
      <c r="D158" s="16">
        <f>IF(C158="","",TEXT(C158,"dddd"))</f>
        <v/>
      </c>
      <c r="E158" s="16" t="n"/>
      <c r="F158" s="16">
        <f>IF(G158&lt;&gt;"",IF(LEFT(UPPER(TRIM(G158)),1)="V","Drogaria Venancio",""),IF(H158&lt;&gt;"","Cristal",""))</f>
        <v/>
      </c>
      <c r="G158" s="16" t="n"/>
      <c r="H158" s="16" t="n"/>
      <c r="I158" s="16" t="n"/>
      <c r="J158" s="16" t="n"/>
      <c r="K158" s="16" t="n"/>
      <c r="L158" s="16" t="n"/>
      <c r="M158" s="35">
        <f>IF(I158="","",HYPERLINK("https://www.google.com/maps/search/?api=1&amp;query="&amp;SUBSTITUTE(I158&amp;", "&amp;J158&amp;", Rio de Janeiro"," ","+"),"Abrir no Maps"))</f>
        <v/>
      </c>
    </row>
    <row r="159">
      <c r="A159" s="20">
        <f>IF(C159="","",TEXT(C159,"mmmm"))</f>
        <v/>
      </c>
      <c r="B159" s="20">
        <f>IF(C159="","","Semana "&amp;ROUNDUP(DAY(C159)/7,0))</f>
        <v/>
      </c>
      <c r="C159" s="36" t="n"/>
      <c r="D159" s="20">
        <f>IF(C159="","",TEXT(C159,"dddd"))</f>
        <v/>
      </c>
      <c r="E159" s="20" t="n"/>
      <c r="F159" s="20">
        <f>IF(G159&lt;&gt;"",IF(LEFT(UPPER(TRIM(G159)),1)="V","Drogaria Venancio",""),IF(H159&lt;&gt;"","Cristal",""))</f>
        <v/>
      </c>
      <c r="G159" s="20" t="n"/>
      <c r="H159" s="20" t="n"/>
      <c r="I159" s="20" t="n"/>
      <c r="J159" s="20" t="n"/>
      <c r="K159" s="20" t="n"/>
      <c r="L159" s="20" t="n"/>
      <c r="M159" s="37">
        <f>IF(I159="","",HYPERLINK("https://www.google.com/maps/search/?api=1&amp;query="&amp;SUBSTITUTE(I159&amp;", "&amp;J159&amp;", Rio de Janeiro"," ","+"),"Abrir no Maps"))</f>
        <v/>
      </c>
    </row>
    <row r="160">
      <c r="A160" s="16">
        <f>IF(C160="","",TEXT(C160,"mmmm"))</f>
        <v/>
      </c>
      <c r="B160" s="16">
        <f>IF(C160="","","Semana "&amp;ROUNDUP(DAY(C160)/7,0))</f>
        <v/>
      </c>
      <c r="C160" s="34" t="n"/>
      <c r="D160" s="16">
        <f>IF(C160="","",TEXT(C160,"dddd"))</f>
        <v/>
      </c>
      <c r="E160" s="16" t="n"/>
      <c r="F160" s="16">
        <f>IF(G160&lt;&gt;"",IF(LEFT(UPPER(TRIM(G160)),1)="V","Drogaria Venancio",""),IF(H160&lt;&gt;"","Cristal",""))</f>
        <v/>
      </c>
      <c r="G160" s="16" t="n"/>
      <c r="H160" s="16" t="n"/>
      <c r="I160" s="16" t="n"/>
      <c r="J160" s="16" t="n"/>
      <c r="K160" s="16" t="n"/>
      <c r="L160" s="16" t="n"/>
      <c r="M160" s="35">
        <f>IF(I160="","",HYPERLINK("https://www.google.com/maps/search/?api=1&amp;query="&amp;SUBSTITUTE(I160&amp;", "&amp;J160&amp;", Rio de Janeiro"," ","+"),"Abrir no Maps"))</f>
        <v/>
      </c>
    </row>
    <row r="161">
      <c r="A161" s="20">
        <f>IF(C161="","",TEXT(C161,"mmmm"))</f>
        <v/>
      </c>
      <c r="B161" s="20">
        <f>IF(C161="","","Semana "&amp;ROUNDUP(DAY(C161)/7,0))</f>
        <v/>
      </c>
      <c r="C161" s="36" t="n"/>
      <c r="D161" s="20">
        <f>IF(C161="","",TEXT(C161,"dddd"))</f>
        <v/>
      </c>
      <c r="E161" s="20" t="n"/>
      <c r="F161" s="20">
        <f>IF(G161&lt;&gt;"",IF(LEFT(UPPER(TRIM(G161)),1)="V","Drogaria Venancio",""),IF(H161&lt;&gt;"","Cristal",""))</f>
        <v/>
      </c>
      <c r="G161" s="20" t="n"/>
      <c r="H161" s="20" t="n"/>
      <c r="I161" s="20" t="n"/>
      <c r="J161" s="20" t="n"/>
      <c r="K161" s="20" t="n"/>
      <c r="L161" s="20" t="n"/>
      <c r="M161" s="37">
        <f>IF(I161="","",HYPERLINK("https://www.google.com/maps/search/?api=1&amp;query="&amp;SUBSTITUTE(I161&amp;", "&amp;J161&amp;", Rio de Janeiro"," ","+"),"Abrir no Maps"))</f>
        <v/>
      </c>
    </row>
    <row r="162">
      <c r="A162" s="16">
        <f>IF(C162="","",TEXT(C162,"mmmm"))</f>
        <v/>
      </c>
      <c r="B162" s="16">
        <f>IF(C162="","","Semana "&amp;ROUNDUP(DAY(C162)/7,0))</f>
        <v/>
      </c>
      <c r="C162" s="34" t="n"/>
      <c r="D162" s="16">
        <f>IF(C162="","",TEXT(C162,"dddd"))</f>
        <v/>
      </c>
      <c r="E162" s="16" t="n"/>
      <c r="F162" s="16">
        <f>IF(G162&lt;&gt;"",IF(LEFT(UPPER(TRIM(G162)),1)="V","Drogaria Venancio",""),IF(H162&lt;&gt;"","Cristal",""))</f>
        <v/>
      </c>
      <c r="G162" s="16" t="n"/>
      <c r="H162" s="16" t="n"/>
      <c r="I162" s="16" t="n"/>
      <c r="J162" s="16" t="n"/>
      <c r="K162" s="16" t="n"/>
      <c r="L162" s="16" t="n"/>
      <c r="M162" s="35">
        <f>IF(I162="","",HYPERLINK("https://www.google.com/maps/search/?api=1&amp;query="&amp;SUBSTITUTE(I162&amp;", "&amp;J162&amp;", Rio de Janeiro"," ","+"),"Abrir no Maps"))</f>
        <v/>
      </c>
    </row>
    <row r="163">
      <c r="A163" s="20">
        <f>IF(C163="","",TEXT(C163,"mmmm"))</f>
        <v/>
      </c>
      <c r="B163" s="20">
        <f>IF(C163="","","Semana "&amp;ROUNDUP(DAY(C163)/7,0))</f>
        <v/>
      </c>
      <c r="C163" s="36" t="n"/>
      <c r="D163" s="20">
        <f>IF(C163="","",TEXT(C163,"dddd"))</f>
        <v/>
      </c>
      <c r="E163" s="20" t="n"/>
      <c r="F163" s="20">
        <f>IF(G163&lt;&gt;"",IF(LEFT(UPPER(TRIM(G163)),1)="V","Drogaria Venancio",""),IF(H163&lt;&gt;"","Cristal",""))</f>
        <v/>
      </c>
      <c r="G163" s="20" t="n"/>
      <c r="H163" s="20" t="n"/>
      <c r="I163" s="20" t="n"/>
      <c r="J163" s="20" t="n"/>
      <c r="K163" s="20" t="n"/>
      <c r="L163" s="20" t="n"/>
      <c r="M163" s="37">
        <f>IF(I163="","",HYPERLINK("https://www.google.com/maps/search/?api=1&amp;query="&amp;SUBSTITUTE(I163&amp;", "&amp;J163&amp;", Rio de Janeiro"," ","+"),"Abrir no Maps"))</f>
        <v/>
      </c>
    </row>
    <row r="164">
      <c r="A164" s="16">
        <f>IF(C164="","",TEXT(C164,"mmmm"))</f>
        <v/>
      </c>
      <c r="B164" s="16">
        <f>IF(C164="","","Semana "&amp;ROUNDUP(DAY(C164)/7,0))</f>
        <v/>
      </c>
      <c r="C164" s="34" t="n"/>
      <c r="D164" s="16">
        <f>IF(C164="","",TEXT(C164,"dddd"))</f>
        <v/>
      </c>
      <c r="E164" s="16" t="n"/>
      <c r="F164" s="16">
        <f>IF(G164&lt;&gt;"",IF(LEFT(UPPER(TRIM(G164)),1)="V","Drogaria Venancio",""),IF(H164&lt;&gt;"","Cristal",""))</f>
        <v/>
      </c>
      <c r="G164" s="16" t="n"/>
      <c r="H164" s="16" t="n"/>
      <c r="I164" s="16" t="n"/>
      <c r="J164" s="16" t="n"/>
      <c r="K164" s="16" t="n"/>
      <c r="L164" s="16" t="n"/>
      <c r="M164" s="35">
        <f>IF(I164="","",HYPERLINK("https://www.google.com/maps/search/?api=1&amp;query="&amp;SUBSTITUTE(I164&amp;", "&amp;J164&amp;", Rio de Janeiro"," ","+"),"Abrir no Maps"))</f>
        <v/>
      </c>
    </row>
    <row r="165">
      <c r="A165" s="20">
        <f>IF(C165="","",TEXT(C165,"mmmm"))</f>
        <v/>
      </c>
      <c r="B165" s="20">
        <f>IF(C165="","","Semana "&amp;ROUNDUP(DAY(C165)/7,0))</f>
        <v/>
      </c>
      <c r="C165" s="36" t="n"/>
      <c r="D165" s="20">
        <f>IF(C165="","",TEXT(C165,"dddd"))</f>
        <v/>
      </c>
      <c r="E165" s="20" t="n"/>
      <c r="F165" s="20">
        <f>IF(G165&lt;&gt;"",IF(LEFT(UPPER(TRIM(G165)),1)="V","Drogaria Venancio",""),IF(H165&lt;&gt;"","Cristal",""))</f>
        <v/>
      </c>
      <c r="G165" s="20" t="n"/>
      <c r="H165" s="20" t="n"/>
      <c r="I165" s="20" t="n"/>
      <c r="J165" s="20" t="n"/>
      <c r="K165" s="20" t="n"/>
      <c r="L165" s="20" t="n"/>
      <c r="M165" s="37">
        <f>IF(I165="","",HYPERLINK("https://www.google.com/maps/search/?api=1&amp;query="&amp;SUBSTITUTE(I165&amp;", "&amp;J165&amp;", Rio de Janeiro"," ","+"),"Abrir no Maps"))</f>
        <v/>
      </c>
    </row>
    <row r="166">
      <c r="A166" s="16">
        <f>IF(C166="","",TEXT(C166,"mmmm"))</f>
        <v/>
      </c>
      <c r="B166" s="16">
        <f>IF(C166="","","Semana "&amp;ROUNDUP(DAY(C166)/7,0))</f>
        <v/>
      </c>
      <c r="C166" s="34" t="n"/>
      <c r="D166" s="16">
        <f>IF(C166="","",TEXT(C166,"dddd"))</f>
        <v/>
      </c>
      <c r="E166" s="16" t="n"/>
      <c r="F166" s="16">
        <f>IF(G166&lt;&gt;"",IF(LEFT(UPPER(TRIM(G166)),1)="V","Drogaria Venancio",""),IF(H166&lt;&gt;"","Cristal",""))</f>
        <v/>
      </c>
      <c r="G166" s="16" t="n"/>
      <c r="H166" s="16" t="n"/>
      <c r="I166" s="16" t="n"/>
      <c r="J166" s="16" t="n"/>
      <c r="K166" s="16" t="n"/>
      <c r="L166" s="16" t="n"/>
      <c r="M166" s="35">
        <f>IF(I166="","",HYPERLINK("https://www.google.com/maps/search/?api=1&amp;query="&amp;SUBSTITUTE(I166&amp;", "&amp;J166&amp;", Rio de Janeiro"," ","+"),"Abrir no Maps"))</f>
        <v/>
      </c>
    </row>
    <row r="167">
      <c r="A167" s="20">
        <f>IF(C167="","",TEXT(C167,"mmmm"))</f>
        <v/>
      </c>
      <c r="B167" s="20">
        <f>IF(C167="","","Semana "&amp;ROUNDUP(DAY(C167)/7,0))</f>
        <v/>
      </c>
      <c r="C167" s="36" t="n"/>
      <c r="D167" s="20">
        <f>IF(C167="","",TEXT(C167,"dddd"))</f>
        <v/>
      </c>
      <c r="E167" s="20" t="n"/>
      <c r="F167" s="20">
        <f>IF(G167&lt;&gt;"",IF(LEFT(UPPER(TRIM(G167)),1)="V","Drogaria Venancio",""),IF(H167&lt;&gt;"","Cristal",""))</f>
        <v/>
      </c>
      <c r="G167" s="20" t="n"/>
      <c r="H167" s="20" t="n"/>
      <c r="I167" s="20" t="n"/>
      <c r="J167" s="20" t="n"/>
      <c r="K167" s="20" t="n"/>
      <c r="L167" s="20" t="n"/>
      <c r="M167" s="37">
        <f>IF(I167="","",HYPERLINK("https://www.google.com/maps/search/?api=1&amp;query="&amp;SUBSTITUTE(I167&amp;", "&amp;J167&amp;", Rio de Janeiro"," ","+"),"Abrir no Maps"))</f>
        <v/>
      </c>
    </row>
    <row r="168">
      <c r="A168" s="16">
        <f>IF(C168="","",TEXT(C168,"mmmm"))</f>
        <v/>
      </c>
      <c r="B168" s="16">
        <f>IF(C168="","","Semana "&amp;ROUNDUP(DAY(C168)/7,0))</f>
        <v/>
      </c>
      <c r="C168" s="34" t="n"/>
      <c r="D168" s="16">
        <f>IF(C168="","",TEXT(C168,"dddd"))</f>
        <v/>
      </c>
      <c r="E168" s="16" t="n"/>
      <c r="F168" s="16">
        <f>IF(G168&lt;&gt;"",IF(LEFT(UPPER(TRIM(G168)),1)="V","Drogaria Venancio",""),IF(H168&lt;&gt;"","Cristal",""))</f>
        <v/>
      </c>
      <c r="G168" s="16" t="n"/>
      <c r="H168" s="16" t="n"/>
      <c r="I168" s="16" t="n"/>
      <c r="J168" s="16" t="n"/>
      <c r="K168" s="16" t="n"/>
      <c r="L168" s="16" t="n"/>
      <c r="M168" s="35">
        <f>IF(I168="","",HYPERLINK("https://www.google.com/maps/search/?api=1&amp;query="&amp;SUBSTITUTE(I168&amp;", "&amp;J168&amp;", Rio de Janeiro"," ","+"),"Abrir no Maps"))</f>
        <v/>
      </c>
    </row>
    <row r="169">
      <c r="A169" s="20">
        <f>IF(C169="","",TEXT(C169,"mmmm"))</f>
        <v/>
      </c>
      <c r="B169" s="20">
        <f>IF(C169="","","Semana "&amp;ROUNDUP(DAY(C169)/7,0))</f>
        <v/>
      </c>
      <c r="C169" s="36" t="n"/>
      <c r="D169" s="20">
        <f>IF(C169="","",TEXT(C169,"dddd"))</f>
        <v/>
      </c>
      <c r="E169" s="20" t="n"/>
      <c r="F169" s="20">
        <f>IF(G169&lt;&gt;"",IF(LEFT(UPPER(TRIM(G169)),1)="V","Drogaria Venancio",""),IF(H169&lt;&gt;"","Cristal",""))</f>
        <v/>
      </c>
      <c r="G169" s="20" t="n"/>
      <c r="H169" s="20" t="n"/>
      <c r="I169" s="20" t="n"/>
      <c r="J169" s="20" t="n"/>
      <c r="K169" s="20" t="n"/>
      <c r="L169" s="20" t="n"/>
      <c r="M169" s="37">
        <f>IF(I169="","",HYPERLINK("https://www.google.com/maps/search/?api=1&amp;query="&amp;SUBSTITUTE(I169&amp;", "&amp;J169&amp;", Rio de Janeiro"," ","+"),"Abrir no Maps"))</f>
        <v/>
      </c>
    </row>
    <row r="170">
      <c r="A170" s="16">
        <f>IF(C170="","",TEXT(C170,"mmmm"))</f>
        <v/>
      </c>
      <c r="B170" s="16">
        <f>IF(C170="","","Semana "&amp;ROUNDUP(DAY(C170)/7,0))</f>
        <v/>
      </c>
      <c r="C170" s="34" t="n"/>
      <c r="D170" s="16">
        <f>IF(C170="","",TEXT(C170,"dddd"))</f>
        <v/>
      </c>
      <c r="E170" s="16" t="n"/>
      <c r="F170" s="16">
        <f>IF(G170&lt;&gt;"",IF(LEFT(UPPER(TRIM(G170)),1)="V","Drogaria Venancio",""),IF(H170&lt;&gt;"","Cristal",""))</f>
        <v/>
      </c>
      <c r="G170" s="16" t="n"/>
      <c r="H170" s="16" t="n"/>
      <c r="I170" s="16" t="n"/>
      <c r="J170" s="16" t="n"/>
      <c r="K170" s="16" t="n"/>
      <c r="L170" s="16" t="n"/>
      <c r="M170" s="35">
        <f>IF(I170="","",HYPERLINK("https://www.google.com/maps/search/?api=1&amp;query="&amp;SUBSTITUTE(I170&amp;", "&amp;J170&amp;", Rio de Janeiro"," ","+"),"Abrir no Maps"))</f>
        <v/>
      </c>
    </row>
    <row r="171">
      <c r="A171" s="20">
        <f>IF(C171="","",TEXT(C171,"mmmm"))</f>
        <v/>
      </c>
      <c r="B171" s="20">
        <f>IF(C171="","","Semana "&amp;ROUNDUP(DAY(C171)/7,0))</f>
        <v/>
      </c>
      <c r="C171" s="36" t="n"/>
      <c r="D171" s="20">
        <f>IF(C171="","",TEXT(C171,"dddd"))</f>
        <v/>
      </c>
      <c r="E171" s="20" t="n"/>
      <c r="F171" s="20">
        <f>IF(G171&lt;&gt;"",IF(LEFT(UPPER(TRIM(G171)),1)="V","Drogaria Venancio",""),IF(H171&lt;&gt;"","Cristal",""))</f>
        <v/>
      </c>
      <c r="G171" s="20" t="n"/>
      <c r="H171" s="20" t="n"/>
      <c r="I171" s="20" t="n"/>
      <c r="J171" s="20" t="n"/>
      <c r="K171" s="20" t="n"/>
      <c r="L171" s="20" t="n"/>
      <c r="M171" s="37">
        <f>IF(I171="","",HYPERLINK("https://www.google.com/maps/search/?api=1&amp;query="&amp;SUBSTITUTE(I171&amp;", "&amp;J171&amp;", Rio de Janeiro"," ","+"),"Abrir no Maps"))</f>
        <v/>
      </c>
    </row>
    <row r="172">
      <c r="A172" s="16">
        <f>IF(C172="","",TEXT(C172,"mmmm"))</f>
        <v/>
      </c>
      <c r="B172" s="16">
        <f>IF(C172="","","Semana "&amp;ROUNDUP(DAY(C172)/7,0))</f>
        <v/>
      </c>
      <c r="C172" s="34" t="n"/>
      <c r="D172" s="16">
        <f>IF(C172="","",TEXT(C172,"dddd"))</f>
        <v/>
      </c>
      <c r="E172" s="16" t="n"/>
      <c r="F172" s="16">
        <f>IF(G172&lt;&gt;"",IF(LEFT(UPPER(TRIM(G172)),1)="V","Drogaria Venancio",""),IF(H172&lt;&gt;"","Cristal",""))</f>
        <v/>
      </c>
      <c r="G172" s="16" t="n"/>
      <c r="H172" s="16" t="n"/>
      <c r="I172" s="16" t="n"/>
      <c r="J172" s="16" t="n"/>
      <c r="K172" s="16" t="n"/>
      <c r="L172" s="16" t="n"/>
      <c r="M172" s="35">
        <f>IF(I172="","",HYPERLINK("https://www.google.com/maps/search/?api=1&amp;query="&amp;SUBSTITUTE(I172&amp;", "&amp;J172&amp;", Rio de Janeiro"," ","+"),"Abrir no Maps"))</f>
        <v/>
      </c>
    </row>
    <row r="173">
      <c r="A173" s="20">
        <f>IF(C173="","",TEXT(C173,"mmmm"))</f>
        <v/>
      </c>
      <c r="B173" s="20">
        <f>IF(C173="","","Semana "&amp;ROUNDUP(DAY(C173)/7,0))</f>
        <v/>
      </c>
      <c r="C173" s="36" t="n"/>
      <c r="D173" s="20">
        <f>IF(C173="","",TEXT(C173,"dddd"))</f>
        <v/>
      </c>
      <c r="E173" s="20" t="n"/>
      <c r="F173" s="20">
        <f>IF(G173&lt;&gt;"",IF(LEFT(UPPER(TRIM(G173)),1)="V","Drogaria Venancio",""),IF(H173&lt;&gt;"","Cristal",""))</f>
        <v/>
      </c>
      <c r="G173" s="20" t="n"/>
      <c r="H173" s="20" t="n"/>
      <c r="I173" s="20" t="n"/>
      <c r="J173" s="20" t="n"/>
      <c r="K173" s="20" t="n"/>
      <c r="L173" s="20" t="n"/>
      <c r="M173" s="37">
        <f>IF(I173="","",HYPERLINK("https://www.google.com/maps/search/?api=1&amp;query="&amp;SUBSTITUTE(I173&amp;", "&amp;J173&amp;", Rio de Janeiro"," ","+"),"Abrir no Maps"))</f>
        <v/>
      </c>
    </row>
    <row r="174">
      <c r="A174" s="16">
        <f>IF(C174="","",TEXT(C174,"mmmm"))</f>
        <v/>
      </c>
      <c r="B174" s="16">
        <f>IF(C174="","","Semana "&amp;ROUNDUP(DAY(C174)/7,0))</f>
        <v/>
      </c>
      <c r="C174" s="34" t="n"/>
      <c r="D174" s="16">
        <f>IF(C174="","",TEXT(C174,"dddd"))</f>
        <v/>
      </c>
      <c r="E174" s="16" t="n"/>
      <c r="F174" s="16">
        <f>IF(G174&lt;&gt;"",IF(LEFT(UPPER(TRIM(G174)),1)="V","Drogaria Venancio",""),IF(H174&lt;&gt;"","Cristal",""))</f>
        <v/>
      </c>
      <c r="G174" s="16" t="n"/>
      <c r="H174" s="16" t="n"/>
      <c r="I174" s="16" t="n"/>
      <c r="J174" s="16" t="n"/>
      <c r="K174" s="16" t="n"/>
      <c r="L174" s="16" t="n"/>
      <c r="M174" s="35">
        <f>IF(I174="","",HYPERLINK("https://www.google.com/maps/search/?api=1&amp;query="&amp;SUBSTITUTE(I174&amp;", "&amp;J174&amp;", Rio de Janeiro"," ","+"),"Abrir no Maps"))</f>
        <v/>
      </c>
    </row>
    <row r="175">
      <c r="A175" s="20">
        <f>IF(C175="","",TEXT(C175,"mmmm"))</f>
        <v/>
      </c>
      <c r="B175" s="20">
        <f>IF(C175="","","Semana "&amp;ROUNDUP(DAY(C175)/7,0))</f>
        <v/>
      </c>
      <c r="C175" s="36" t="n"/>
      <c r="D175" s="20">
        <f>IF(C175="","",TEXT(C175,"dddd"))</f>
        <v/>
      </c>
      <c r="E175" s="20" t="n"/>
      <c r="F175" s="20">
        <f>IF(G175&lt;&gt;"",IF(LEFT(UPPER(TRIM(G175)),1)="V","Drogaria Venancio",""),IF(H175&lt;&gt;"","Cristal",""))</f>
        <v/>
      </c>
      <c r="G175" s="20" t="n"/>
      <c r="H175" s="20" t="n"/>
      <c r="I175" s="20" t="n"/>
      <c r="J175" s="20" t="n"/>
      <c r="K175" s="20" t="n"/>
      <c r="L175" s="20" t="n"/>
      <c r="M175" s="37">
        <f>IF(I175="","",HYPERLINK("https://www.google.com/maps/search/?api=1&amp;query="&amp;SUBSTITUTE(I175&amp;", "&amp;J175&amp;", Rio de Janeiro"," ","+"),"Abrir no Maps"))</f>
        <v/>
      </c>
    </row>
    <row r="176">
      <c r="A176" s="16">
        <f>IF(C176="","",TEXT(C176,"mmmm"))</f>
        <v/>
      </c>
      <c r="B176" s="16">
        <f>IF(C176="","","Semana "&amp;ROUNDUP(DAY(C176)/7,0))</f>
        <v/>
      </c>
      <c r="C176" s="34" t="n"/>
      <c r="D176" s="16">
        <f>IF(C176="","",TEXT(C176,"dddd"))</f>
        <v/>
      </c>
      <c r="E176" s="16" t="n"/>
      <c r="F176" s="16">
        <f>IF(G176&lt;&gt;"",IF(LEFT(UPPER(TRIM(G176)),1)="V","Drogaria Venancio",""),IF(H176&lt;&gt;"","Cristal",""))</f>
        <v/>
      </c>
      <c r="G176" s="16" t="n"/>
      <c r="H176" s="16" t="n"/>
      <c r="I176" s="16" t="n"/>
      <c r="J176" s="16" t="n"/>
      <c r="K176" s="16" t="n"/>
      <c r="L176" s="16" t="n"/>
      <c r="M176" s="35">
        <f>IF(I176="","",HYPERLINK("https://www.google.com/maps/search/?api=1&amp;query="&amp;SUBSTITUTE(I176&amp;", "&amp;J176&amp;", Rio de Janeiro"," ","+"),"Abrir no Maps"))</f>
        <v/>
      </c>
    </row>
    <row r="177">
      <c r="A177" s="20">
        <f>IF(C177="","",TEXT(C177,"mmmm"))</f>
        <v/>
      </c>
      <c r="B177" s="20">
        <f>IF(C177="","","Semana "&amp;ROUNDUP(DAY(C177)/7,0))</f>
        <v/>
      </c>
      <c r="C177" s="36" t="n"/>
      <c r="D177" s="20">
        <f>IF(C177="","",TEXT(C177,"dddd"))</f>
        <v/>
      </c>
      <c r="E177" s="20" t="n"/>
      <c r="F177" s="20">
        <f>IF(G177&lt;&gt;"",IF(LEFT(UPPER(TRIM(G177)),1)="V","Drogaria Venancio",""),IF(H177&lt;&gt;"","Cristal",""))</f>
        <v/>
      </c>
      <c r="G177" s="20" t="n"/>
      <c r="H177" s="20" t="n"/>
      <c r="I177" s="20" t="n"/>
      <c r="J177" s="20" t="n"/>
      <c r="K177" s="20" t="n"/>
      <c r="L177" s="20" t="n"/>
      <c r="M177" s="37">
        <f>IF(I177="","",HYPERLINK("https://www.google.com/maps/search/?api=1&amp;query="&amp;SUBSTITUTE(I177&amp;", "&amp;J177&amp;", Rio de Janeiro"," ","+"),"Abrir no Maps"))</f>
        <v/>
      </c>
    </row>
    <row r="178">
      <c r="A178" s="16">
        <f>IF(C178="","",TEXT(C178,"mmmm"))</f>
        <v/>
      </c>
      <c r="B178" s="16">
        <f>IF(C178="","","Semana "&amp;ROUNDUP(DAY(C178)/7,0))</f>
        <v/>
      </c>
      <c r="C178" s="34" t="n"/>
      <c r="D178" s="16">
        <f>IF(C178="","",TEXT(C178,"dddd"))</f>
        <v/>
      </c>
      <c r="E178" s="16" t="n"/>
      <c r="F178" s="16">
        <f>IF(G178&lt;&gt;"",IF(LEFT(UPPER(TRIM(G178)),1)="V","Drogaria Venancio",""),IF(H178&lt;&gt;"","Cristal",""))</f>
        <v/>
      </c>
      <c r="G178" s="16" t="n"/>
      <c r="H178" s="16" t="n"/>
      <c r="I178" s="16" t="n"/>
      <c r="J178" s="16" t="n"/>
      <c r="K178" s="16" t="n"/>
      <c r="L178" s="16" t="n"/>
      <c r="M178" s="35">
        <f>IF(I178="","",HYPERLINK("https://www.google.com/maps/search/?api=1&amp;query="&amp;SUBSTITUTE(I178&amp;", "&amp;J178&amp;", Rio de Janeiro"," ","+"),"Abrir no Maps"))</f>
        <v/>
      </c>
    </row>
    <row r="179">
      <c r="A179" s="20">
        <f>IF(C179="","",TEXT(C179,"mmmm"))</f>
        <v/>
      </c>
      <c r="B179" s="20">
        <f>IF(C179="","","Semana "&amp;ROUNDUP(DAY(C179)/7,0))</f>
        <v/>
      </c>
      <c r="C179" s="36" t="n"/>
      <c r="D179" s="20">
        <f>IF(C179="","",TEXT(C179,"dddd"))</f>
        <v/>
      </c>
      <c r="E179" s="20" t="n"/>
      <c r="F179" s="20">
        <f>IF(G179&lt;&gt;"",IF(LEFT(UPPER(TRIM(G179)),1)="V","Drogaria Venancio",""),IF(H179&lt;&gt;"","Cristal",""))</f>
        <v/>
      </c>
      <c r="G179" s="20" t="n"/>
      <c r="H179" s="20" t="n"/>
      <c r="I179" s="20" t="n"/>
      <c r="J179" s="20" t="n"/>
      <c r="K179" s="20" t="n"/>
      <c r="L179" s="20" t="n"/>
      <c r="M179" s="37">
        <f>IF(I179="","",HYPERLINK("https://www.google.com/maps/search/?api=1&amp;query="&amp;SUBSTITUTE(I179&amp;", "&amp;J179&amp;", Rio de Janeiro"," ","+"),"Abrir no Maps"))</f>
        <v/>
      </c>
    </row>
    <row r="180">
      <c r="A180" s="16">
        <f>IF(C180="","",TEXT(C180,"mmmm"))</f>
        <v/>
      </c>
      <c r="B180" s="16">
        <f>IF(C180="","","Semana "&amp;ROUNDUP(DAY(C180)/7,0))</f>
        <v/>
      </c>
      <c r="C180" s="34" t="n"/>
      <c r="D180" s="16">
        <f>IF(C180="","",TEXT(C180,"dddd"))</f>
        <v/>
      </c>
      <c r="E180" s="16" t="n"/>
      <c r="F180" s="16">
        <f>IF(G180&lt;&gt;"",IF(LEFT(UPPER(TRIM(G180)),1)="V","Drogaria Venancio",""),IF(H180&lt;&gt;"","Cristal",""))</f>
        <v/>
      </c>
      <c r="G180" s="16" t="n"/>
      <c r="H180" s="16" t="n"/>
      <c r="I180" s="16" t="n"/>
      <c r="J180" s="16" t="n"/>
      <c r="K180" s="16" t="n"/>
      <c r="L180" s="16" t="n"/>
      <c r="M180" s="35">
        <f>IF(I180="","",HYPERLINK("https://www.google.com/maps/search/?api=1&amp;query="&amp;SUBSTITUTE(I180&amp;", "&amp;J180&amp;", Rio de Janeiro"," ","+"),"Abrir no Maps"))</f>
        <v/>
      </c>
    </row>
    <row r="181">
      <c r="A181" s="20">
        <f>IF(C181="","",TEXT(C181,"mmmm"))</f>
        <v/>
      </c>
      <c r="B181" s="20">
        <f>IF(C181="","","Semana "&amp;ROUNDUP(DAY(C181)/7,0))</f>
        <v/>
      </c>
      <c r="C181" s="36" t="n"/>
      <c r="D181" s="20">
        <f>IF(C181="","",TEXT(C181,"dddd"))</f>
        <v/>
      </c>
      <c r="E181" s="20" t="n"/>
      <c r="F181" s="20">
        <f>IF(G181&lt;&gt;"",IF(LEFT(UPPER(TRIM(G181)),1)="V","Drogaria Venancio",""),IF(H181&lt;&gt;"","Cristal",""))</f>
        <v/>
      </c>
      <c r="G181" s="20" t="n"/>
      <c r="H181" s="20" t="n"/>
      <c r="I181" s="20" t="n"/>
      <c r="J181" s="20" t="n"/>
      <c r="K181" s="20" t="n"/>
      <c r="L181" s="20" t="n"/>
      <c r="M181" s="37">
        <f>IF(I181="","",HYPERLINK("https://www.google.com/maps/search/?api=1&amp;query="&amp;SUBSTITUTE(I181&amp;", "&amp;J181&amp;", Rio de Janeiro"," ","+"),"Abrir no Maps"))</f>
        <v/>
      </c>
    </row>
    <row r="182">
      <c r="A182" s="16">
        <f>IF(C182="","",TEXT(C182,"mmmm"))</f>
        <v/>
      </c>
      <c r="B182" s="16">
        <f>IF(C182="","","Semana "&amp;ROUNDUP(DAY(C182)/7,0))</f>
        <v/>
      </c>
      <c r="C182" s="34" t="n"/>
      <c r="D182" s="16">
        <f>IF(C182="","",TEXT(C182,"dddd"))</f>
        <v/>
      </c>
      <c r="E182" s="16" t="n"/>
      <c r="F182" s="16">
        <f>IF(G182&lt;&gt;"",IF(LEFT(UPPER(TRIM(G182)),1)="V","Drogaria Venancio",""),IF(H182&lt;&gt;"","Cristal",""))</f>
        <v/>
      </c>
      <c r="G182" s="16" t="n"/>
      <c r="H182" s="16" t="n"/>
      <c r="I182" s="16" t="n"/>
      <c r="J182" s="16" t="n"/>
      <c r="K182" s="16" t="n"/>
      <c r="L182" s="16" t="n"/>
      <c r="M182" s="35">
        <f>IF(I182="","",HYPERLINK("https://www.google.com/maps/search/?api=1&amp;query="&amp;SUBSTITUTE(I182&amp;", "&amp;J182&amp;", Rio de Janeiro"," ","+"),"Abrir no Maps"))</f>
        <v/>
      </c>
    </row>
    <row r="183">
      <c r="A183" s="20">
        <f>IF(C183="","",TEXT(C183,"mmmm"))</f>
        <v/>
      </c>
      <c r="B183" s="20">
        <f>IF(C183="","","Semana "&amp;ROUNDUP(DAY(C183)/7,0))</f>
        <v/>
      </c>
      <c r="C183" s="36" t="n"/>
      <c r="D183" s="20">
        <f>IF(C183="","",TEXT(C183,"dddd"))</f>
        <v/>
      </c>
      <c r="E183" s="20" t="n"/>
      <c r="F183" s="20">
        <f>IF(G183&lt;&gt;"",IF(LEFT(UPPER(TRIM(G183)),1)="V","Drogaria Venancio",""),IF(H183&lt;&gt;"","Cristal",""))</f>
        <v/>
      </c>
      <c r="G183" s="20" t="n"/>
      <c r="H183" s="20" t="n"/>
      <c r="I183" s="20" t="n"/>
      <c r="J183" s="20" t="n"/>
      <c r="K183" s="20" t="n"/>
      <c r="L183" s="20" t="n"/>
      <c r="M183" s="37">
        <f>IF(I183="","",HYPERLINK("https://www.google.com/maps/search/?api=1&amp;query="&amp;SUBSTITUTE(I183&amp;", "&amp;J183&amp;", Rio de Janeiro"," ","+"),"Abrir no Maps"))</f>
        <v/>
      </c>
    </row>
    <row r="184">
      <c r="A184" s="16">
        <f>IF(C184="","",TEXT(C184,"mmmm"))</f>
        <v/>
      </c>
      <c r="B184" s="16">
        <f>IF(C184="","","Semana "&amp;ROUNDUP(DAY(C184)/7,0))</f>
        <v/>
      </c>
      <c r="C184" s="34" t="n"/>
      <c r="D184" s="16">
        <f>IF(C184="","",TEXT(C184,"dddd"))</f>
        <v/>
      </c>
      <c r="E184" s="16" t="n"/>
      <c r="F184" s="16">
        <f>IF(G184&lt;&gt;"",IF(LEFT(UPPER(TRIM(G184)),1)="V","Drogaria Venancio",""),IF(H184&lt;&gt;"","Cristal",""))</f>
        <v/>
      </c>
      <c r="G184" s="16" t="n"/>
      <c r="H184" s="16" t="n"/>
      <c r="I184" s="16" t="n"/>
      <c r="J184" s="16" t="n"/>
      <c r="K184" s="16" t="n"/>
      <c r="L184" s="16" t="n"/>
      <c r="M184" s="35">
        <f>IF(I184="","",HYPERLINK("https://www.google.com/maps/search/?api=1&amp;query="&amp;SUBSTITUTE(I184&amp;", "&amp;J184&amp;", Rio de Janeiro"," ","+"),"Abrir no Maps"))</f>
        <v/>
      </c>
    </row>
    <row r="185">
      <c r="A185" s="20">
        <f>IF(C185="","",TEXT(C185,"mmmm"))</f>
        <v/>
      </c>
      <c r="B185" s="20">
        <f>IF(C185="","","Semana "&amp;ROUNDUP(DAY(C185)/7,0))</f>
        <v/>
      </c>
      <c r="C185" s="36" t="n"/>
      <c r="D185" s="20">
        <f>IF(C185="","",TEXT(C185,"dddd"))</f>
        <v/>
      </c>
      <c r="E185" s="20" t="n"/>
      <c r="F185" s="20">
        <f>IF(G185&lt;&gt;"",IF(LEFT(UPPER(TRIM(G185)),1)="V","Drogaria Venancio",""),IF(H185&lt;&gt;"","Cristal",""))</f>
        <v/>
      </c>
      <c r="G185" s="20" t="n"/>
      <c r="H185" s="20" t="n"/>
      <c r="I185" s="20" t="n"/>
      <c r="J185" s="20" t="n"/>
      <c r="K185" s="20" t="n"/>
      <c r="L185" s="20" t="n"/>
      <c r="M185" s="37">
        <f>IF(I185="","",HYPERLINK("https://www.google.com/maps/search/?api=1&amp;query="&amp;SUBSTITUTE(I185&amp;", "&amp;J185&amp;", Rio de Janeiro"," ","+"),"Abrir no Maps"))</f>
        <v/>
      </c>
    </row>
    <row r="186">
      <c r="A186" s="16">
        <f>IF(C186="","",TEXT(C186,"mmmm"))</f>
        <v/>
      </c>
      <c r="B186" s="16">
        <f>IF(C186="","","Semana "&amp;ROUNDUP(DAY(C186)/7,0))</f>
        <v/>
      </c>
      <c r="C186" s="34" t="n"/>
      <c r="D186" s="16">
        <f>IF(C186="","",TEXT(C186,"dddd"))</f>
        <v/>
      </c>
      <c r="E186" s="16" t="n"/>
      <c r="F186" s="16">
        <f>IF(G186&lt;&gt;"",IF(LEFT(UPPER(TRIM(G186)),1)="V","Drogaria Venancio",""),IF(H186&lt;&gt;"","Cristal",""))</f>
        <v/>
      </c>
      <c r="G186" s="16" t="n"/>
      <c r="H186" s="16" t="n"/>
      <c r="I186" s="16" t="n"/>
      <c r="J186" s="16" t="n"/>
      <c r="K186" s="16" t="n"/>
      <c r="L186" s="16" t="n"/>
      <c r="M186" s="35">
        <f>IF(I186="","",HYPERLINK("https://www.google.com/maps/search/?api=1&amp;query="&amp;SUBSTITUTE(I186&amp;", "&amp;J186&amp;", Rio de Janeiro"," ","+"),"Abrir no Maps"))</f>
        <v/>
      </c>
    </row>
    <row r="187">
      <c r="A187" s="20">
        <f>IF(C187="","",TEXT(C187,"mmmm"))</f>
        <v/>
      </c>
      <c r="B187" s="20">
        <f>IF(C187="","","Semana "&amp;ROUNDUP(DAY(C187)/7,0))</f>
        <v/>
      </c>
      <c r="C187" s="36" t="n"/>
      <c r="D187" s="20">
        <f>IF(C187="","",TEXT(C187,"dddd"))</f>
        <v/>
      </c>
      <c r="E187" s="20" t="n"/>
      <c r="F187" s="20">
        <f>IF(G187&lt;&gt;"",IF(LEFT(UPPER(TRIM(G187)),1)="V","Drogaria Venancio",""),IF(H187&lt;&gt;"","Cristal",""))</f>
        <v/>
      </c>
      <c r="G187" s="20" t="n"/>
      <c r="H187" s="20" t="n"/>
      <c r="I187" s="20" t="n"/>
      <c r="J187" s="20" t="n"/>
      <c r="K187" s="20" t="n"/>
      <c r="L187" s="20" t="n"/>
      <c r="M187" s="37">
        <f>IF(I187="","",HYPERLINK("https://www.google.com/maps/search/?api=1&amp;query="&amp;SUBSTITUTE(I187&amp;", "&amp;J187&amp;", Rio de Janeiro"," ","+"),"Abrir no Maps"))</f>
        <v/>
      </c>
    </row>
    <row r="188">
      <c r="A188" s="16">
        <f>IF(C188="","",TEXT(C188,"mmmm"))</f>
        <v/>
      </c>
      <c r="B188" s="16">
        <f>IF(C188="","","Semana "&amp;ROUNDUP(DAY(C188)/7,0))</f>
        <v/>
      </c>
      <c r="C188" s="34" t="n"/>
      <c r="D188" s="16">
        <f>IF(C188="","",TEXT(C188,"dddd"))</f>
        <v/>
      </c>
      <c r="E188" s="16" t="n"/>
      <c r="F188" s="16">
        <f>IF(G188&lt;&gt;"",IF(LEFT(UPPER(TRIM(G188)),1)="V","Drogaria Venancio",""),IF(H188&lt;&gt;"","Cristal",""))</f>
        <v/>
      </c>
      <c r="G188" s="16" t="n"/>
      <c r="H188" s="16" t="n"/>
      <c r="I188" s="16" t="n"/>
      <c r="J188" s="16" t="n"/>
      <c r="K188" s="16" t="n"/>
      <c r="L188" s="16" t="n"/>
      <c r="M188" s="35">
        <f>IF(I188="","",HYPERLINK("https://www.google.com/maps/search/?api=1&amp;query="&amp;SUBSTITUTE(I188&amp;", "&amp;J188&amp;", Rio de Janeiro"," ","+"),"Abrir no Maps"))</f>
        <v/>
      </c>
    </row>
    <row r="189">
      <c r="A189" s="20">
        <f>IF(C189="","",TEXT(C189,"mmmm"))</f>
        <v/>
      </c>
      <c r="B189" s="20">
        <f>IF(C189="","","Semana "&amp;ROUNDUP(DAY(C189)/7,0))</f>
        <v/>
      </c>
      <c r="C189" s="36" t="n"/>
      <c r="D189" s="20">
        <f>IF(C189="","",TEXT(C189,"dddd"))</f>
        <v/>
      </c>
      <c r="E189" s="20" t="n"/>
      <c r="F189" s="20">
        <f>IF(G189&lt;&gt;"",IF(LEFT(UPPER(TRIM(G189)),1)="V","Drogaria Venancio",""),IF(H189&lt;&gt;"","Cristal",""))</f>
        <v/>
      </c>
      <c r="G189" s="20" t="n"/>
      <c r="H189" s="20" t="n"/>
      <c r="I189" s="20" t="n"/>
      <c r="J189" s="20" t="n"/>
      <c r="K189" s="20" t="n"/>
      <c r="L189" s="20" t="n"/>
      <c r="M189" s="37">
        <f>IF(I189="","",HYPERLINK("https://www.google.com/maps/search/?api=1&amp;query="&amp;SUBSTITUTE(I189&amp;", "&amp;J189&amp;", Rio de Janeiro"," ","+"),"Abrir no Maps"))</f>
        <v/>
      </c>
    </row>
    <row r="190">
      <c r="A190" s="16">
        <f>IF(C190="","",TEXT(C190,"mmmm"))</f>
        <v/>
      </c>
      <c r="B190" s="16">
        <f>IF(C190="","","Semana "&amp;ROUNDUP(DAY(C190)/7,0))</f>
        <v/>
      </c>
      <c r="C190" s="34" t="n"/>
      <c r="D190" s="16">
        <f>IF(C190="","",TEXT(C190,"dddd"))</f>
        <v/>
      </c>
      <c r="E190" s="16" t="n"/>
      <c r="F190" s="16">
        <f>IF(G190&lt;&gt;"",IF(LEFT(UPPER(TRIM(G190)),1)="V","Drogaria Venancio",""),IF(H190&lt;&gt;"","Cristal",""))</f>
        <v/>
      </c>
      <c r="G190" s="16" t="n"/>
      <c r="H190" s="16" t="n"/>
      <c r="I190" s="16" t="n"/>
      <c r="J190" s="16" t="n"/>
      <c r="K190" s="16" t="n"/>
      <c r="L190" s="16" t="n"/>
      <c r="M190" s="35">
        <f>IF(I190="","",HYPERLINK("https://www.google.com/maps/search/?api=1&amp;query="&amp;SUBSTITUTE(I190&amp;", "&amp;J190&amp;", Rio de Janeiro"," ","+"),"Abrir no Maps"))</f>
        <v/>
      </c>
    </row>
    <row r="191">
      <c r="A191" s="20">
        <f>IF(C191="","",TEXT(C191,"mmmm"))</f>
        <v/>
      </c>
      <c r="B191" s="20">
        <f>IF(C191="","","Semana "&amp;ROUNDUP(DAY(C191)/7,0))</f>
        <v/>
      </c>
      <c r="C191" s="36" t="n"/>
      <c r="D191" s="20">
        <f>IF(C191="","",TEXT(C191,"dddd"))</f>
        <v/>
      </c>
      <c r="E191" s="20" t="n"/>
      <c r="F191" s="20">
        <f>IF(G191&lt;&gt;"",IF(LEFT(UPPER(TRIM(G191)),1)="V","Drogaria Venancio",""),IF(H191&lt;&gt;"","Cristal",""))</f>
        <v/>
      </c>
      <c r="G191" s="20" t="n"/>
      <c r="H191" s="20" t="n"/>
      <c r="I191" s="20" t="n"/>
      <c r="J191" s="20" t="n"/>
      <c r="K191" s="20" t="n"/>
      <c r="L191" s="20" t="n"/>
      <c r="M191" s="37">
        <f>IF(I191="","",HYPERLINK("https://www.google.com/maps/search/?api=1&amp;query="&amp;SUBSTITUTE(I191&amp;", "&amp;J191&amp;", Rio de Janeiro"," ","+"),"Abrir no Maps"))</f>
        <v/>
      </c>
    </row>
    <row r="192">
      <c r="A192" s="16">
        <f>IF(C192="","",TEXT(C192,"mmmm"))</f>
        <v/>
      </c>
      <c r="B192" s="16">
        <f>IF(C192="","","Semana "&amp;ROUNDUP(DAY(C192)/7,0))</f>
        <v/>
      </c>
      <c r="C192" s="34" t="n"/>
      <c r="D192" s="16">
        <f>IF(C192="","",TEXT(C192,"dddd"))</f>
        <v/>
      </c>
      <c r="E192" s="16" t="n"/>
      <c r="F192" s="16">
        <f>IF(G192&lt;&gt;"",IF(LEFT(UPPER(TRIM(G192)),1)="V","Drogaria Venancio",""),IF(H192&lt;&gt;"","Cristal",""))</f>
        <v/>
      </c>
      <c r="G192" s="16" t="n"/>
      <c r="H192" s="16" t="n"/>
      <c r="I192" s="16" t="n"/>
      <c r="J192" s="16" t="n"/>
      <c r="K192" s="16" t="n"/>
      <c r="L192" s="16" t="n"/>
      <c r="M192" s="35">
        <f>IF(I192="","",HYPERLINK("https://www.google.com/maps/search/?api=1&amp;query="&amp;SUBSTITUTE(I192&amp;", "&amp;J192&amp;", Rio de Janeiro"," ","+"),"Abrir no Maps"))</f>
        <v/>
      </c>
    </row>
    <row r="193">
      <c r="A193" s="20">
        <f>IF(C193="","",TEXT(C193,"mmmm"))</f>
        <v/>
      </c>
      <c r="B193" s="20">
        <f>IF(C193="","","Semana "&amp;ROUNDUP(DAY(C193)/7,0))</f>
        <v/>
      </c>
      <c r="C193" s="36" t="n"/>
      <c r="D193" s="20">
        <f>IF(C193="","",TEXT(C193,"dddd"))</f>
        <v/>
      </c>
      <c r="E193" s="20" t="n"/>
      <c r="F193" s="20">
        <f>IF(G193&lt;&gt;"",IF(LEFT(UPPER(TRIM(G193)),1)="V","Drogaria Venancio",""),IF(H193&lt;&gt;"","Cristal",""))</f>
        <v/>
      </c>
      <c r="G193" s="20" t="n"/>
      <c r="H193" s="20" t="n"/>
      <c r="I193" s="20" t="n"/>
      <c r="J193" s="20" t="n"/>
      <c r="K193" s="20" t="n"/>
      <c r="L193" s="20" t="n"/>
      <c r="M193" s="37">
        <f>IF(I193="","",HYPERLINK("https://www.google.com/maps/search/?api=1&amp;query="&amp;SUBSTITUTE(I193&amp;", "&amp;J193&amp;", Rio de Janeiro"," ","+"),"Abrir no Maps"))</f>
        <v/>
      </c>
    </row>
    <row r="194">
      <c r="A194" s="16">
        <f>IF(C194="","",TEXT(C194,"mmmm"))</f>
        <v/>
      </c>
      <c r="B194" s="16">
        <f>IF(C194="","","Semana "&amp;ROUNDUP(DAY(C194)/7,0))</f>
        <v/>
      </c>
      <c r="C194" s="34" t="n"/>
      <c r="D194" s="16">
        <f>IF(C194="","",TEXT(C194,"dddd"))</f>
        <v/>
      </c>
      <c r="E194" s="16" t="n"/>
      <c r="F194" s="16">
        <f>IF(G194&lt;&gt;"",IF(LEFT(UPPER(TRIM(G194)),1)="V","Drogaria Venancio",""),IF(H194&lt;&gt;"","Cristal",""))</f>
        <v/>
      </c>
      <c r="G194" s="16" t="n"/>
      <c r="H194" s="16" t="n"/>
      <c r="I194" s="16" t="n"/>
      <c r="J194" s="16" t="n"/>
      <c r="K194" s="16" t="n"/>
      <c r="L194" s="16" t="n"/>
      <c r="M194" s="35">
        <f>IF(I194="","",HYPERLINK("https://www.google.com/maps/search/?api=1&amp;query="&amp;SUBSTITUTE(I194&amp;", "&amp;J194&amp;", Rio de Janeiro"," ","+"),"Abrir no Maps"))</f>
        <v/>
      </c>
    </row>
    <row r="195">
      <c r="A195" s="20">
        <f>IF(C195="","",TEXT(C195,"mmmm"))</f>
        <v/>
      </c>
      <c r="B195" s="20">
        <f>IF(C195="","","Semana "&amp;ROUNDUP(DAY(C195)/7,0))</f>
        <v/>
      </c>
      <c r="C195" s="36" t="n"/>
      <c r="D195" s="20">
        <f>IF(C195="","",TEXT(C195,"dddd"))</f>
        <v/>
      </c>
      <c r="E195" s="20" t="n"/>
      <c r="F195" s="20">
        <f>IF(G195&lt;&gt;"",IF(LEFT(UPPER(TRIM(G195)),1)="V","Drogaria Venancio",""),IF(H195&lt;&gt;"","Cristal",""))</f>
        <v/>
      </c>
      <c r="G195" s="20" t="n"/>
      <c r="H195" s="20" t="n"/>
      <c r="I195" s="20" t="n"/>
      <c r="J195" s="20" t="n"/>
      <c r="K195" s="20" t="n"/>
      <c r="L195" s="20" t="n"/>
      <c r="M195" s="37">
        <f>IF(I195="","",HYPERLINK("https://www.google.com/maps/search/?api=1&amp;query="&amp;SUBSTITUTE(I195&amp;", "&amp;J195&amp;", Rio de Janeiro"," ","+"),"Abrir no Maps"))</f>
        <v/>
      </c>
    </row>
    <row r="196">
      <c r="A196" s="16">
        <f>IF(C196="","",TEXT(C196,"mmmm"))</f>
        <v/>
      </c>
      <c r="B196" s="16">
        <f>IF(C196="","","Semana "&amp;ROUNDUP(DAY(C196)/7,0))</f>
        <v/>
      </c>
      <c r="C196" s="34" t="n"/>
      <c r="D196" s="16">
        <f>IF(C196="","",TEXT(C196,"dddd"))</f>
        <v/>
      </c>
      <c r="E196" s="16" t="n"/>
      <c r="F196" s="16">
        <f>IF(G196&lt;&gt;"",IF(LEFT(UPPER(TRIM(G196)),1)="V","Drogaria Venancio",""),IF(H196&lt;&gt;"","Cristal",""))</f>
        <v/>
      </c>
      <c r="G196" s="16" t="n"/>
      <c r="H196" s="16" t="n"/>
      <c r="I196" s="16" t="n"/>
      <c r="J196" s="16" t="n"/>
      <c r="K196" s="16" t="n"/>
      <c r="L196" s="16" t="n"/>
      <c r="M196" s="35">
        <f>IF(I196="","",HYPERLINK("https://www.google.com/maps/search/?api=1&amp;query="&amp;SUBSTITUTE(I196&amp;", "&amp;J196&amp;", Rio de Janeiro"," ","+"),"Abrir no Maps"))</f>
        <v/>
      </c>
    </row>
    <row r="197">
      <c r="A197" s="20">
        <f>IF(C197="","",TEXT(C197,"mmmm"))</f>
        <v/>
      </c>
      <c r="B197" s="20">
        <f>IF(C197="","","Semana "&amp;ROUNDUP(DAY(C197)/7,0))</f>
        <v/>
      </c>
      <c r="C197" s="36" t="n"/>
      <c r="D197" s="20">
        <f>IF(C197="","",TEXT(C197,"dddd"))</f>
        <v/>
      </c>
      <c r="E197" s="20" t="n"/>
      <c r="F197" s="20">
        <f>IF(G197&lt;&gt;"",IF(LEFT(UPPER(TRIM(G197)),1)="V","Drogaria Venancio",""),IF(H197&lt;&gt;"","Cristal",""))</f>
        <v/>
      </c>
      <c r="G197" s="20" t="n"/>
      <c r="H197" s="20" t="n"/>
      <c r="I197" s="20" t="n"/>
      <c r="J197" s="20" t="n"/>
      <c r="K197" s="20" t="n"/>
      <c r="L197" s="20" t="n"/>
      <c r="M197" s="37">
        <f>IF(I197="","",HYPERLINK("https://www.google.com/maps/search/?api=1&amp;query="&amp;SUBSTITUTE(I197&amp;", "&amp;J197&amp;", Rio de Janeiro"," ","+"),"Abrir no Maps"))</f>
        <v/>
      </c>
    </row>
    <row r="198">
      <c r="A198" s="16">
        <f>IF(C198="","",TEXT(C198,"mmmm"))</f>
        <v/>
      </c>
      <c r="B198" s="16">
        <f>IF(C198="","","Semana "&amp;ROUNDUP(DAY(C198)/7,0))</f>
        <v/>
      </c>
      <c r="C198" s="34" t="n"/>
      <c r="D198" s="16">
        <f>IF(C198="","",TEXT(C198,"dddd"))</f>
        <v/>
      </c>
      <c r="E198" s="16" t="n"/>
      <c r="F198" s="16">
        <f>IF(G198&lt;&gt;"",IF(LEFT(UPPER(TRIM(G198)),1)="V","Drogaria Venancio",""),IF(H198&lt;&gt;"","Cristal",""))</f>
        <v/>
      </c>
      <c r="G198" s="16" t="n"/>
      <c r="H198" s="16" t="n"/>
      <c r="I198" s="16" t="n"/>
      <c r="J198" s="16" t="n"/>
      <c r="K198" s="16" t="n"/>
      <c r="L198" s="16" t="n"/>
      <c r="M198" s="35">
        <f>IF(I198="","",HYPERLINK("https://www.google.com/maps/search/?api=1&amp;query="&amp;SUBSTITUTE(I198&amp;", "&amp;J198&amp;", Rio de Janeiro"," ","+"),"Abrir no Maps"))</f>
        <v/>
      </c>
    </row>
    <row r="199">
      <c r="A199" s="20">
        <f>IF(C199="","",TEXT(C199,"mmmm"))</f>
        <v/>
      </c>
      <c r="B199" s="20">
        <f>IF(C199="","","Semana "&amp;ROUNDUP(DAY(C199)/7,0))</f>
        <v/>
      </c>
      <c r="C199" s="36" t="n"/>
      <c r="D199" s="20">
        <f>IF(C199="","",TEXT(C199,"dddd"))</f>
        <v/>
      </c>
      <c r="E199" s="20" t="n"/>
      <c r="F199" s="20">
        <f>IF(G199&lt;&gt;"",IF(LEFT(UPPER(TRIM(G199)),1)="V","Drogaria Venancio",""),IF(H199&lt;&gt;"","Cristal",""))</f>
        <v/>
      </c>
      <c r="G199" s="20" t="n"/>
      <c r="H199" s="20" t="n"/>
      <c r="I199" s="20" t="n"/>
      <c r="J199" s="20" t="n"/>
      <c r="K199" s="20" t="n"/>
      <c r="L199" s="20" t="n"/>
      <c r="M199" s="37">
        <f>IF(I199="","",HYPERLINK("https://www.google.com/maps/search/?api=1&amp;query="&amp;SUBSTITUTE(I199&amp;", "&amp;J199&amp;", Rio de Janeiro"," ","+"),"Abrir no Maps"))</f>
        <v/>
      </c>
    </row>
    <row r="200">
      <c r="A200" s="16">
        <f>IF(C200="","",TEXT(C200,"mmmm"))</f>
        <v/>
      </c>
      <c r="B200" s="16">
        <f>IF(C200="","","Semana "&amp;ROUNDUP(DAY(C200)/7,0))</f>
        <v/>
      </c>
      <c r="C200" s="34" t="n"/>
      <c r="D200" s="16">
        <f>IF(C200="","",TEXT(C200,"dddd"))</f>
        <v/>
      </c>
      <c r="E200" s="16" t="n"/>
      <c r="F200" s="16">
        <f>IF(G200&lt;&gt;"",IF(LEFT(UPPER(TRIM(G200)),1)="V","Drogaria Venancio",""),IF(H200&lt;&gt;"","Cristal",""))</f>
        <v/>
      </c>
      <c r="G200" s="16" t="n"/>
      <c r="H200" s="16" t="n"/>
      <c r="I200" s="16" t="n"/>
      <c r="J200" s="16" t="n"/>
      <c r="K200" s="16" t="n"/>
      <c r="L200" s="16" t="n"/>
      <c r="M200" s="35">
        <f>IF(I200="","",HYPERLINK("https://www.google.com/maps/search/?api=1&amp;query="&amp;SUBSTITUTE(I200&amp;", "&amp;J200&amp;", Rio de Janeiro"," ","+"),"Abrir no Maps"))</f>
        <v/>
      </c>
    </row>
    <row r="201">
      <c r="A201" s="20">
        <f>IF(C201="","",TEXT(C201,"mmmm"))</f>
        <v/>
      </c>
      <c r="B201" s="20">
        <f>IF(C201="","","Semana "&amp;ROUNDUP(DAY(C201)/7,0))</f>
        <v/>
      </c>
      <c r="C201" s="36" t="n"/>
      <c r="D201" s="20">
        <f>IF(C201="","",TEXT(C201,"dddd"))</f>
        <v/>
      </c>
      <c r="E201" s="20" t="n"/>
      <c r="F201" s="20">
        <f>IF(G201&lt;&gt;"",IF(LEFT(UPPER(TRIM(G201)),1)="V","Drogaria Venancio",""),IF(H201&lt;&gt;"","Cristal",""))</f>
        <v/>
      </c>
      <c r="G201" s="20" t="n"/>
      <c r="H201" s="20" t="n"/>
      <c r="I201" s="20" t="n"/>
      <c r="J201" s="20" t="n"/>
      <c r="K201" s="20" t="n"/>
      <c r="L201" s="20" t="n"/>
      <c r="M201" s="37">
        <f>IF(I201="","",HYPERLINK("https://www.google.com/maps/search/?api=1&amp;query="&amp;SUBSTITUTE(I201&amp;", "&amp;J201&amp;", Rio de Janeiro"," ","+"),"Abrir no Maps"))</f>
        <v/>
      </c>
    </row>
    <row r="202">
      <c r="A202" s="16">
        <f>IF(C202="","",TEXT(C202,"mmmm"))</f>
        <v/>
      </c>
      <c r="B202" s="16">
        <f>IF(C202="","","Semana "&amp;ROUNDUP(DAY(C202)/7,0))</f>
        <v/>
      </c>
      <c r="C202" s="34" t="n"/>
      <c r="D202" s="16">
        <f>IF(C202="","",TEXT(C202,"dddd"))</f>
        <v/>
      </c>
      <c r="E202" s="16" t="n"/>
      <c r="F202" s="16">
        <f>IF(G202&lt;&gt;"",IF(LEFT(UPPER(TRIM(G202)),1)="V","Drogaria Venancio",""),IF(H202&lt;&gt;"","Cristal",""))</f>
        <v/>
      </c>
      <c r="G202" s="16" t="n"/>
      <c r="H202" s="16" t="n"/>
      <c r="I202" s="16" t="n"/>
      <c r="J202" s="16" t="n"/>
      <c r="K202" s="16" t="n"/>
      <c r="L202" s="16" t="n"/>
      <c r="M202" s="35">
        <f>IF(I202="","",HYPERLINK("https://www.google.com/maps/search/?api=1&amp;query="&amp;SUBSTITUTE(I202&amp;", "&amp;J202&amp;", Rio de Janeiro"," ","+"),"Abrir no Maps"))</f>
        <v/>
      </c>
    </row>
    <row r="203">
      <c r="A203" s="20">
        <f>IF(C203="","",TEXT(C203,"mmmm"))</f>
        <v/>
      </c>
      <c r="B203" s="20">
        <f>IF(C203="","","Semana "&amp;ROUNDUP(DAY(C203)/7,0))</f>
        <v/>
      </c>
      <c r="C203" s="36" t="n"/>
      <c r="D203" s="20">
        <f>IF(C203="","",TEXT(C203,"dddd"))</f>
        <v/>
      </c>
      <c r="E203" s="20" t="n"/>
      <c r="F203" s="20">
        <f>IF(G203&lt;&gt;"",IF(LEFT(UPPER(TRIM(G203)),1)="V","Drogaria Venancio",""),IF(H203&lt;&gt;"","Cristal",""))</f>
        <v/>
      </c>
      <c r="G203" s="20" t="n"/>
      <c r="H203" s="20" t="n"/>
      <c r="I203" s="20" t="n"/>
      <c r="J203" s="20" t="n"/>
      <c r="K203" s="20" t="n"/>
      <c r="L203" s="20" t="n"/>
      <c r="M203" s="37">
        <f>IF(I203="","",HYPERLINK("https://www.google.com/maps/search/?api=1&amp;query="&amp;SUBSTITUTE(I203&amp;", "&amp;J203&amp;", Rio de Janeiro"," ","+"),"Abrir no Maps"))</f>
        <v/>
      </c>
    </row>
    <row r="204">
      <c r="A204" s="16">
        <f>IF(C204="","",TEXT(C204,"mmmm"))</f>
        <v/>
      </c>
      <c r="B204" s="16">
        <f>IF(C204="","","Semana "&amp;ROUNDUP(DAY(C204)/7,0))</f>
        <v/>
      </c>
      <c r="C204" s="34" t="n"/>
      <c r="D204" s="16">
        <f>IF(C204="","",TEXT(C204,"dddd"))</f>
        <v/>
      </c>
      <c r="E204" s="16" t="n"/>
      <c r="F204" s="16">
        <f>IF(G204&lt;&gt;"",IF(LEFT(UPPER(TRIM(G204)),1)="V","Drogaria Venancio",""),IF(H204&lt;&gt;"","Cristal",""))</f>
        <v/>
      </c>
      <c r="G204" s="16" t="n"/>
      <c r="H204" s="16" t="n"/>
      <c r="I204" s="16" t="n"/>
      <c r="J204" s="16" t="n"/>
      <c r="K204" s="16" t="n"/>
      <c r="L204" s="16" t="n"/>
      <c r="M204" s="35">
        <f>IF(I204="","",HYPERLINK("https://www.google.com/maps/search/?api=1&amp;query="&amp;SUBSTITUTE(I204&amp;", "&amp;J204&amp;", Rio de Janeiro"," ","+"),"Abrir no Maps"))</f>
        <v/>
      </c>
    </row>
    <row r="205">
      <c r="A205" s="20">
        <f>IF(C205="","",TEXT(C205,"mmmm"))</f>
        <v/>
      </c>
      <c r="B205" s="20">
        <f>IF(C205="","","Semana "&amp;ROUNDUP(DAY(C205)/7,0))</f>
        <v/>
      </c>
      <c r="C205" s="36" t="n"/>
      <c r="D205" s="20">
        <f>IF(C205="","",TEXT(C205,"dddd"))</f>
        <v/>
      </c>
      <c r="E205" s="20" t="n"/>
      <c r="F205" s="20">
        <f>IF(G205&lt;&gt;"",IF(LEFT(UPPER(TRIM(G205)),1)="V","Drogaria Venancio",""),IF(H205&lt;&gt;"","Cristal",""))</f>
        <v/>
      </c>
      <c r="G205" s="20" t="n"/>
      <c r="H205" s="20" t="n"/>
      <c r="I205" s="20" t="n"/>
      <c r="J205" s="20" t="n"/>
      <c r="K205" s="20" t="n"/>
      <c r="L205" s="20" t="n"/>
      <c r="M205" s="37">
        <f>IF(I205="","",HYPERLINK("https://www.google.com/maps/search/?api=1&amp;query="&amp;SUBSTITUTE(I205&amp;", "&amp;J205&amp;", Rio de Janeiro"," ","+"),"Abrir no Maps"))</f>
        <v/>
      </c>
    </row>
    <row r="206">
      <c r="A206" s="16">
        <f>IF(C206="","",TEXT(C206,"mmmm"))</f>
        <v/>
      </c>
      <c r="B206" s="16">
        <f>IF(C206="","","Semana "&amp;ROUNDUP(DAY(C206)/7,0))</f>
        <v/>
      </c>
      <c r="C206" s="34" t="n"/>
      <c r="D206" s="16">
        <f>IF(C206="","",TEXT(C206,"dddd"))</f>
        <v/>
      </c>
      <c r="E206" s="16" t="n"/>
      <c r="F206" s="16">
        <f>IF(G206&lt;&gt;"",IF(LEFT(UPPER(TRIM(G206)),1)="V","Drogaria Venancio",""),IF(H206&lt;&gt;"","Cristal",""))</f>
        <v/>
      </c>
      <c r="G206" s="16" t="n"/>
      <c r="H206" s="16" t="n"/>
      <c r="I206" s="16" t="n"/>
      <c r="J206" s="16" t="n"/>
      <c r="K206" s="16" t="n"/>
      <c r="L206" s="16" t="n"/>
      <c r="M206" s="35">
        <f>IF(I206="","",HYPERLINK("https://www.google.com/maps/search/?api=1&amp;query="&amp;SUBSTITUTE(I206&amp;", "&amp;J206&amp;", Rio de Janeiro"," ","+"),"Abrir no Maps"))</f>
        <v/>
      </c>
    </row>
    <row r="207">
      <c r="A207" s="20">
        <f>IF(C207="","",TEXT(C207,"mmmm"))</f>
        <v/>
      </c>
      <c r="B207" s="20">
        <f>IF(C207="","","Semana "&amp;ROUNDUP(DAY(C207)/7,0))</f>
        <v/>
      </c>
      <c r="C207" s="36" t="n"/>
      <c r="D207" s="20">
        <f>IF(C207="","",TEXT(C207,"dddd"))</f>
        <v/>
      </c>
      <c r="E207" s="20" t="n"/>
      <c r="F207" s="20">
        <f>IF(G207&lt;&gt;"",IF(LEFT(UPPER(TRIM(G207)),1)="V","Drogaria Venancio",""),IF(H207&lt;&gt;"","Cristal",""))</f>
        <v/>
      </c>
      <c r="G207" s="20" t="n"/>
      <c r="H207" s="20" t="n"/>
      <c r="I207" s="20" t="n"/>
      <c r="J207" s="20" t="n"/>
      <c r="K207" s="20" t="n"/>
      <c r="L207" s="20" t="n"/>
      <c r="M207" s="37">
        <f>IF(I207="","",HYPERLINK("https://www.google.com/maps/search/?api=1&amp;query="&amp;SUBSTITUTE(I207&amp;", "&amp;J207&amp;", Rio de Janeiro"," ","+"),"Abrir no Maps"))</f>
        <v/>
      </c>
    </row>
    <row r="208">
      <c r="A208" s="16">
        <f>IF(C208="","",TEXT(C208,"mmmm"))</f>
        <v/>
      </c>
      <c r="B208" s="16">
        <f>IF(C208="","","Semana "&amp;ROUNDUP(DAY(C208)/7,0))</f>
        <v/>
      </c>
      <c r="C208" s="34" t="n"/>
      <c r="D208" s="16">
        <f>IF(C208="","",TEXT(C208,"dddd"))</f>
        <v/>
      </c>
      <c r="E208" s="16" t="n"/>
      <c r="F208" s="16">
        <f>IF(G208&lt;&gt;"",IF(LEFT(UPPER(TRIM(G208)),1)="V","Drogaria Venancio",""),IF(H208&lt;&gt;"","Cristal",""))</f>
        <v/>
      </c>
      <c r="G208" s="16" t="n"/>
      <c r="H208" s="16" t="n"/>
      <c r="I208" s="16" t="n"/>
      <c r="J208" s="16" t="n"/>
      <c r="K208" s="16" t="n"/>
      <c r="L208" s="16" t="n"/>
      <c r="M208" s="35">
        <f>IF(I208="","",HYPERLINK("https://www.google.com/maps/search/?api=1&amp;query="&amp;SUBSTITUTE(I208&amp;", "&amp;J208&amp;", Rio de Janeiro"," ","+"),"Abrir no Maps"))</f>
        <v/>
      </c>
    </row>
    <row r="209">
      <c r="A209" s="20">
        <f>IF(C209="","",TEXT(C209,"mmmm"))</f>
        <v/>
      </c>
      <c r="B209" s="20">
        <f>IF(C209="","","Semana "&amp;ROUNDUP(DAY(C209)/7,0))</f>
        <v/>
      </c>
      <c r="C209" s="36" t="n"/>
      <c r="D209" s="20">
        <f>IF(C209="","",TEXT(C209,"dddd"))</f>
        <v/>
      </c>
      <c r="E209" s="20" t="n"/>
      <c r="F209" s="20">
        <f>IF(G209&lt;&gt;"",IF(LEFT(UPPER(TRIM(G209)),1)="V","Drogaria Venancio",""),IF(H209&lt;&gt;"","Cristal",""))</f>
        <v/>
      </c>
      <c r="G209" s="20" t="n"/>
      <c r="H209" s="20" t="n"/>
      <c r="I209" s="20" t="n"/>
      <c r="J209" s="20" t="n"/>
      <c r="K209" s="20" t="n"/>
      <c r="L209" s="20" t="n"/>
      <c r="M209" s="37">
        <f>IF(I209="","",HYPERLINK("https://www.google.com/maps/search/?api=1&amp;query="&amp;SUBSTITUTE(I209&amp;", "&amp;J209&amp;", Rio de Janeiro"," ","+"),"Abrir no Maps"))</f>
        <v/>
      </c>
    </row>
    <row r="210">
      <c r="A210" s="16">
        <f>IF(C210="","",TEXT(C210,"mmmm"))</f>
        <v/>
      </c>
      <c r="B210" s="16">
        <f>IF(C210="","","Semana "&amp;ROUNDUP(DAY(C210)/7,0))</f>
        <v/>
      </c>
      <c r="C210" s="34" t="n"/>
      <c r="D210" s="16">
        <f>IF(C210="","",TEXT(C210,"dddd"))</f>
        <v/>
      </c>
      <c r="E210" s="16" t="n"/>
      <c r="F210" s="16">
        <f>IF(G210&lt;&gt;"",IF(LEFT(UPPER(TRIM(G210)),1)="V","Drogaria Venancio",""),IF(H210&lt;&gt;"","Cristal",""))</f>
        <v/>
      </c>
      <c r="G210" s="16" t="n"/>
      <c r="H210" s="16" t="n"/>
      <c r="I210" s="16" t="n"/>
      <c r="J210" s="16" t="n"/>
      <c r="K210" s="16" t="n"/>
      <c r="L210" s="16" t="n"/>
      <c r="M210" s="35">
        <f>IF(I210="","",HYPERLINK("https://www.google.com/maps/search/?api=1&amp;query="&amp;SUBSTITUTE(I210&amp;", "&amp;J210&amp;", Rio de Janeiro"," ","+"),"Abrir no Maps"))</f>
        <v/>
      </c>
    </row>
    <row r="211">
      <c r="A211" s="20">
        <f>IF(C211="","",TEXT(C211,"mmmm"))</f>
        <v/>
      </c>
      <c r="B211" s="20">
        <f>IF(C211="","","Semana "&amp;ROUNDUP(DAY(C211)/7,0))</f>
        <v/>
      </c>
      <c r="C211" s="36" t="n"/>
      <c r="D211" s="20">
        <f>IF(C211="","",TEXT(C211,"dddd"))</f>
        <v/>
      </c>
      <c r="E211" s="20" t="n"/>
      <c r="F211" s="20">
        <f>IF(G211&lt;&gt;"",IF(LEFT(UPPER(TRIM(G211)),1)="V","Drogaria Venancio",""),IF(H211&lt;&gt;"","Cristal",""))</f>
        <v/>
      </c>
      <c r="G211" s="20" t="n"/>
      <c r="H211" s="20" t="n"/>
      <c r="I211" s="20" t="n"/>
      <c r="J211" s="20" t="n"/>
      <c r="K211" s="20" t="n"/>
      <c r="L211" s="20" t="n"/>
      <c r="M211" s="37">
        <f>IF(I211="","",HYPERLINK("https://www.google.com/maps/search/?api=1&amp;query="&amp;SUBSTITUTE(I211&amp;", "&amp;J211&amp;", Rio de Janeiro"," ","+"),"Abrir no Maps"))</f>
        <v/>
      </c>
    </row>
    <row r="212">
      <c r="A212" s="16">
        <f>IF(C212="","",TEXT(C212,"mmmm"))</f>
        <v/>
      </c>
      <c r="B212" s="16">
        <f>IF(C212="","","Semana "&amp;ROUNDUP(DAY(C212)/7,0))</f>
        <v/>
      </c>
      <c r="C212" s="34" t="n"/>
      <c r="D212" s="16">
        <f>IF(C212="","",TEXT(C212,"dddd"))</f>
        <v/>
      </c>
      <c r="E212" s="16" t="n"/>
      <c r="F212" s="16">
        <f>IF(G212&lt;&gt;"",IF(LEFT(UPPER(TRIM(G212)),1)="V","Drogaria Venancio",""),IF(H212&lt;&gt;"","Cristal",""))</f>
        <v/>
      </c>
      <c r="G212" s="16" t="n"/>
      <c r="H212" s="16" t="n"/>
      <c r="I212" s="16" t="n"/>
      <c r="J212" s="16" t="n"/>
      <c r="K212" s="16" t="n"/>
      <c r="L212" s="16" t="n"/>
      <c r="M212" s="35">
        <f>IF(I212="","",HYPERLINK("https://www.google.com/maps/search/?api=1&amp;query="&amp;SUBSTITUTE(I212&amp;", "&amp;J212&amp;", Rio de Janeiro"," ","+"),"Abrir no Maps"))</f>
        <v/>
      </c>
    </row>
    <row r="213">
      <c r="A213" s="20">
        <f>IF(C213="","",TEXT(C213,"mmmm"))</f>
        <v/>
      </c>
      <c r="B213" s="20">
        <f>IF(C213="","","Semana "&amp;ROUNDUP(DAY(C213)/7,0))</f>
        <v/>
      </c>
      <c r="C213" s="36" t="n"/>
      <c r="D213" s="20">
        <f>IF(C213="","",TEXT(C213,"dddd"))</f>
        <v/>
      </c>
      <c r="E213" s="20" t="n"/>
      <c r="F213" s="20">
        <f>IF(G213&lt;&gt;"",IF(LEFT(UPPER(TRIM(G213)),1)="V","Drogaria Venancio",""),IF(H213&lt;&gt;"","Cristal",""))</f>
        <v/>
      </c>
      <c r="G213" s="20" t="n"/>
      <c r="H213" s="20" t="n"/>
      <c r="I213" s="20" t="n"/>
      <c r="J213" s="20" t="n"/>
      <c r="K213" s="20" t="n"/>
      <c r="L213" s="20" t="n"/>
      <c r="M213" s="37">
        <f>IF(I213="","",HYPERLINK("https://www.google.com/maps/search/?api=1&amp;query="&amp;SUBSTITUTE(I213&amp;", "&amp;J213&amp;", Rio de Janeiro"," ","+"),"Abrir no Maps"))</f>
        <v/>
      </c>
    </row>
    <row r="214">
      <c r="A214" s="16">
        <f>IF(C214="","",TEXT(C214,"mmmm"))</f>
        <v/>
      </c>
      <c r="B214" s="16">
        <f>IF(C214="","","Semana "&amp;ROUNDUP(DAY(C214)/7,0))</f>
        <v/>
      </c>
      <c r="C214" s="34" t="n"/>
      <c r="D214" s="16">
        <f>IF(C214="","",TEXT(C214,"dddd"))</f>
        <v/>
      </c>
      <c r="E214" s="16" t="n"/>
      <c r="F214" s="16">
        <f>IF(G214&lt;&gt;"",IF(LEFT(UPPER(TRIM(G214)),1)="V","Drogaria Venancio",""),IF(H214&lt;&gt;"","Cristal",""))</f>
        <v/>
      </c>
      <c r="G214" s="16" t="n"/>
      <c r="H214" s="16" t="n"/>
      <c r="I214" s="16" t="n"/>
      <c r="J214" s="16" t="n"/>
      <c r="K214" s="16" t="n"/>
      <c r="L214" s="16" t="n"/>
      <c r="M214" s="35">
        <f>IF(I214="","",HYPERLINK("https://www.google.com/maps/search/?api=1&amp;query="&amp;SUBSTITUTE(I214&amp;", "&amp;J214&amp;", Rio de Janeiro"," ","+"),"Abrir no Maps"))</f>
        <v/>
      </c>
    </row>
    <row r="215">
      <c r="A215" s="20">
        <f>IF(C215="","",TEXT(C215,"mmmm"))</f>
        <v/>
      </c>
      <c r="B215" s="20">
        <f>IF(C215="","","Semana "&amp;ROUNDUP(DAY(C215)/7,0))</f>
        <v/>
      </c>
      <c r="C215" s="36" t="n"/>
      <c r="D215" s="20">
        <f>IF(C215="","",TEXT(C215,"dddd"))</f>
        <v/>
      </c>
      <c r="E215" s="20" t="n"/>
      <c r="F215" s="20">
        <f>IF(G215&lt;&gt;"",IF(LEFT(UPPER(TRIM(G215)),1)="V","Drogaria Venancio",""),IF(H215&lt;&gt;"","Cristal",""))</f>
        <v/>
      </c>
      <c r="G215" s="20" t="n"/>
      <c r="H215" s="20" t="n"/>
      <c r="I215" s="20" t="n"/>
      <c r="J215" s="20" t="n"/>
      <c r="K215" s="20" t="n"/>
      <c r="L215" s="20" t="n"/>
      <c r="M215" s="37">
        <f>IF(I215="","",HYPERLINK("https://www.google.com/maps/search/?api=1&amp;query="&amp;SUBSTITUTE(I215&amp;", "&amp;J215&amp;", Rio de Janeiro"," ","+"),"Abrir no Maps"))</f>
        <v/>
      </c>
    </row>
    <row r="216">
      <c r="A216" s="16">
        <f>IF(C216="","",TEXT(C216,"mmmm"))</f>
        <v/>
      </c>
      <c r="B216" s="16">
        <f>IF(C216="","","Semana "&amp;ROUNDUP(DAY(C216)/7,0))</f>
        <v/>
      </c>
      <c r="C216" s="34" t="n"/>
      <c r="D216" s="16">
        <f>IF(C216="","",TEXT(C216,"dddd"))</f>
        <v/>
      </c>
      <c r="E216" s="16" t="n"/>
      <c r="F216" s="16">
        <f>IF(G216&lt;&gt;"",IF(LEFT(UPPER(TRIM(G216)),1)="V","Drogaria Venancio",""),IF(H216&lt;&gt;"","Cristal",""))</f>
        <v/>
      </c>
      <c r="G216" s="16" t="n"/>
      <c r="H216" s="16" t="n"/>
      <c r="I216" s="16" t="n"/>
      <c r="J216" s="16" t="n"/>
      <c r="K216" s="16" t="n"/>
      <c r="L216" s="16" t="n"/>
      <c r="M216" s="35">
        <f>IF(I216="","",HYPERLINK("https://www.google.com/maps/search/?api=1&amp;query="&amp;SUBSTITUTE(I216&amp;", "&amp;J216&amp;", Rio de Janeiro"," ","+"),"Abrir no Maps"))</f>
        <v/>
      </c>
    </row>
    <row r="217">
      <c r="A217" s="20">
        <f>IF(C217="","",TEXT(C217,"mmmm"))</f>
        <v/>
      </c>
      <c r="B217" s="20">
        <f>IF(C217="","","Semana "&amp;ROUNDUP(DAY(C217)/7,0))</f>
        <v/>
      </c>
      <c r="C217" s="36" t="n"/>
      <c r="D217" s="20">
        <f>IF(C217="","",TEXT(C217,"dddd"))</f>
        <v/>
      </c>
      <c r="E217" s="20" t="n"/>
      <c r="F217" s="20">
        <f>IF(G217&lt;&gt;"",IF(LEFT(UPPER(TRIM(G217)),1)="V","Drogaria Venancio",""),IF(H217&lt;&gt;"","Cristal",""))</f>
        <v/>
      </c>
      <c r="G217" s="20" t="n"/>
      <c r="H217" s="20" t="n"/>
      <c r="I217" s="20" t="n"/>
      <c r="J217" s="20" t="n"/>
      <c r="K217" s="20" t="n"/>
      <c r="L217" s="20" t="n"/>
      <c r="M217" s="37">
        <f>IF(I217="","",HYPERLINK("https://www.google.com/maps/search/?api=1&amp;query="&amp;SUBSTITUTE(I217&amp;", "&amp;J217&amp;", Rio de Janeiro"," ","+"),"Abrir no Maps"))</f>
        <v/>
      </c>
    </row>
    <row r="218">
      <c r="A218" s="16">
        <f>IF(C218="","",TEXT(C218,"mmmm"))</f>
        <v/>
      </c>
      <c r="B218" s="16">
        <f>IF(C218="","","Semana "&amp;ROUNDUP(DAY(C218)/7,0))</f>
        <v/>
      </c>
      <c r="C218" s="34" t="n"/>
      <c r="D218" s="16">
        <f>IF(C218="","",TEXT(C218,"dddd"))</f>
        <v/>
      </c>
      <c r="E218" s="16" t="n"/>
      <c r="F218" s="16">
        <f>IF(G218&lt;&gt;"",IF(LEFT(UPPER(TRIM(G218)),1)="V","Drogaria Venancio",""),IF(H218&lt;&gt;"","Cristal",""))</f>
        <v/>
      </c>
      <c r="G218" s="16" t="n"/>
      <c r="H218" s="16" t="n"/>
      <c r="I218" s="16" t="n"/>
      <c r="J218" s="16" t="n"/>
      <c r="K218" s="16" t="n"/>
      <c r="L218" s="16" t="n"/>
      <c r="M218" s="35">
        <f>IF(I218="","",HYPERLINK("https://www.google.com/maps/search/?api=1&amp;query="&amp;SUBSTITUTE(I218&amp;", "&amp;J218&amp;", Rio de Janeiro"," ","+"),"Abrir no Maps"))</f>
        <v/>
      </c>
    </row>
    <row r="219">
      <c r="A219" s="20">
        <f>IF(C219="","",TEXT(C219,"mmmm"))</f>
        <v/>
      </c>
      <c r="B219" s="20">
        <f>IF(C219="","","Semana "&amp;ROUNDUP(DAY(C219)/7,0))</f>
        <v/>
      </c>
      <c r="C219" s="36" t="n"/>
      <c r="D219" s="20">
        <f>IF(C219="","",TEXT(C219,"dddd"))</f>
        <v/>
      </c>
      <c r="E219" s="20" t="n"/>
      <c r="F219" s="20">
        <f>IF(G219&lt;&gt;"",IF(LEFT(UPPER(TRIM(G219)),1)="V","Drogaria Venancio",""),IF(H219&lt;&gt;"","Cristal",""))</f>
        <v/>
      </c>
      <c r="G219" s="20" t="n"/>
      <c r="H219" s="20" t="n"/>
      <c r="I219" s="20" t="n"/>
      <c r="J219" s="20" t="n"/>
      <c r="K219" s="20" t="n"/>
      <c r="L219" s="20" t="n"/>
      <c r="M219" s="37">
        <f>IF(I219="","",HYPERLINK("https://www.google.com/maps/search/?api=1&amp;query="&amp;SUBSTITUTE(I219&amp;", "&amp;J219&amp;", Rio de Janeiro"," ","+"),"Abrir no Maps"))</f>
        <v/>
      </c>
    </row>
    <row r="220">
      <c r="A220" s="16">
        <f>IF(C220="","",TEXT(C220,"mmmm"))</f>
        <v/>
      </c>
      <c r="B220" s="16">
        <f>IF(C220="","","Semana "&amp;ROUNDUP(DAY(C220)/7,0))</f>
        <v/>
      </c>
      <c r="C220" s="34" t="n"/>
      <c r="D220" s="16">
        <f>IF(C220="","",TEXT(C220,"dddd"))</f>
        <v/>
      </c>
      <c r="E220" s="16" t="n"/>
      <c r="F220" s="16">
        <f>IF(G220&lt;&gt;"",IF(LEFT(UPPER(TRIM(G220)),1)="V","Drogaria Venancio",""),IF(H220&lt;&gt;"","Cristal",""))</f>
        <v/>
      </c>
      <c r="G220" s="16" t="n"/>
      <c r="H220" s="16" t="n"/>
      <c r="I220" s="16" t="n"/>
      <c r="J220" s="16" t="n"/>
      <c r="K220" s="16" t="n"/>
      <c r="L220" s="16" t="n"/>
      <c r="M220" s="35">
        <f>IF(I220="","",HYPERLINK("https://www.google.com/maps/search/?api=1&amp;query="&amp;SUBSTITUTE(I220&amp;", "&amp;J220&amp;", Rio de Janeiro"," ","+"),"Abrir no Maps"))</f>
        <v/>
      </c>
    </row>
    <row r="221">
      <c r="A221" s="20">
        <f>IF(C221="","",TEXT(C221,"mmmm"))</f>
        <v/>
      </c>
      <c r="B221" s="20">
        <f>IF(C221="","","Semana "&amp;ROUNDUP(DAY(C221)/7,0))</f>
        <v/>
      </c>
      <c r="C221" s="36" t="n"/>
      <c r="D221" s="20">
        <f>IF(C221="","",TEXT(C221,"dddd"))</f>
        <v/>
      </c>
      <c r="E221" s="20" t="n"/>
      <c r="F221" s="20">
        <f>IF(G221&lt;&gt;"",IF(LEFT(UPPER(TRIM(G221)),1)="V","Drogaria Venancio",""),IF(H221&lt;&gt;"","Cristal",""))</f>
        <v/>
      </c>
      <c r="G221" s="20" t="n"/>
      <c r="H221" s="20" t="n"/>
      <c r="I221" s="20" t="n"/>
      <c r="J221" s="20" t="n"/>
      <c r="K221" s="20" t="n"/>
      <c r="L221" s="20" t="n"/>
      <c r="M221" s="37">
        <f>IF(I221="","",HYPERLINK("https://www.google.com/maps/search/?api=1&amp;query="&amp;SUBSTITUTE(I221&amp;", "&amp;J221&amp;", Rio de Janeiro"," ","+"),"Abrir no Maps"))</f>
        <v/>
      </c>
    </row>
    <row r="222">
      <c r="A222" s="16">
        <f>IF(C222="","",TEXT(C222,"mmmm"))</f>
        <v/>
      </c>
      <c r="B222" s="16">
        <f>IF(C222="","","Semana "&amp;ROUNDUP(DAY(C222)/7,0))</f>
        <v/>
      </c>
      <c r="C222" s="34" t="n"/>
      <c r="D222" s="16">
        <f>IF(C222="","",TEXT(C222,"dddd"))</f>
        <v/>
      </c>
      <c r="E222" s="16" t="n"/>
      <c r="F222" s="16">
        <f>IF(G222&lt;&gt;"",IF(LEFT(UPPER(TRIM(G222)),1)="V","Drogaria Venancio",""),IF(H222&lt;&gt;"","Cristal",""))</f>
        <v/>
      </c>
      <c r="G222" s="16" t="n"/>
      <c r="H222" s="16" t="n"/>
      <c r="I222" s="16" t="n"/>
      <c r="J222" s="16" t="n"/>
      <c r="K222" s="16" t="n"/>
      <c r="L222" s="16" t="n"/>
      <c r="M222" s="35">
        <f>IF(I222="","",HYPERLINK("https://www.google.com/maps/search/?api=1&amp;query="&amp;SUBSTITUTE(I222&amp;", "&amp;J222&amp;", Rio de Janeiro"," ","+"),"Abrir no Maps"))</f>
        <v/>
      </c>
    </row>
    <row r="223">
      <c r="A223" s="20">
        <f>IF(C223="","",TEXT(C223,"mmmm"))</f>
        <v/>
      </c>
      <c r="B223" s="20">
        <f>IF(C223="","","Semana "&amp;ROUNDUP(DAY(C223)/7,0))</f>
        <v/>
      </c>
      <c r="C223" s="36" t="n"/>
      <c r="D223" s="20">
        <f>IF(C223="","",TEXT(C223,"dddd"))</f>
        <v/>
      </c>
      <c r="E223" s="20" t="n"/>
      <c r="F223" s="20">
        <f>IF(G223&lt;&gt;"",IF(LEFT(UPPER(TRIM(G223)),1)="V","Drogaria Venancio",""),IF(H223&lt;&gt;"","Cristal",""))</f>
        <v/>
      </c>
      <c r="G223" s="20" t="n"/>
      <c r="H223" s="20" t="n"/>
      <c r="I223" s="20" t="n"/>
      <c r="J223" s="20" t="n"/>
      <c r="K223" s="20" t="n"/>
      <c r="L223" s="20" t="n"/>
      <c r="M223" s="37">
        <f>IF(I223="","",HYPERLINK("https://www.google.com/maps/search/?api=1&amp;query="&amp;SUBSTITUTE(I223&amp;", "&amp;J223&amp;", Rio de Janeiro"," ","+"),"Abrir no Maps"))</f>
        <v/>
      </c>
    </row>
    <row r="224">
      <c r="A224" s="16">
        <f>IF(C224="","",TEXT(C224,"mmmm"))</f>
        <v/>
      </c>
      <c r="B224" s="16">
        <f>IF(C224="","","Semana "&amp;ROUNDUP(DAY(C224)/7,0))</f>
        <v/>
      </c>
      <c r="C224" s="34" t="n"/>
      <c r="D224" s="16">
        <f>IF(C224="","",TEXT(C224,"dddd"))</f>
        <v/>
      </c>
      <c r="E224" s="16" t="n"/>
      <c r="F224" s="16">
        <f>IF(G224&lt;&gt;"",IF(LEFT(UPPER(TRIM(G224)),1)="V","Drogaria Venancio",""),IF(H224&lt;&gt;"","Cristal",""))</f>
        <v/>
      </c>
      <c r="G224" s="16" t="n"/>
      <c r="H224" s="16" t="n"/>
      <c r="I224" s="16" t="n"/>
      <c r="J224" s="16" t="n"/>
      <c r="K224" s="16" t="n"/>
      <c r="L224" s="16" t="n"/>
      <c r="M224" s="35">
        <f>IF(I224="","",HYPERLINK("https://www.google.com/maps/search/?api=1&amp;query="&amp;SUBSTITUTE(I224&amp;", "&amp;J224&amp;", Rio de Janeiro"," ","+"),"Abrir no Maps"))</f>
        <v/>
      </c>
    </row>
    <row r="225">
      <c r="A225" s="20">
        <f>IF(C225="","",TEXT(C225,"mmmm"))</f>
        <v/>
      </c>
      <c r="B225" s="20">
        <f>IF(C225="","","Semana "&amp;ROUNDUP(DAY(C225)/7,0))</f>
        <v/>
      </c>
      <c r="C225" s="36" t="n"/>
      <c r="D225" s="20">
        <f>IF(C225="","",TEXT(C225,"dddd"))</f>
        <v/>
      </c>
      <c r="E225" s="20" t="n"/>
      <c r="F225" s="20">
        <f>IF(G225&lt;&gt;"",IF(LEFT(UPPER(TRIM(G225)),1)="V","Drogaria Venancio",""),IF(H225&lt;&gt;"","Cristal",""))</f>
        <v/>
      </c>
      <c r="G225" s="20" t="n"/>
      <c r="H225" s="20" t="n"/>
      <c r="I225" s="20" t="n"/>
      <c r="J225" s="20" t="n"/>
      <c r="K225" s="20" t="n"/>
      <c r="L225" s="20" t="n"/>
      <c r="M225" s="37">
        <f>IF(I225="","",HYPERLINK("https://www.google.com/maps/search/?api=1&amp;query="&amp;SUBSTITUTE(I225&amp;", "&amp;J225&amp;", Rio de Janeiro"," ","+"),"Abrir no Maps"))</f>
        <v/>
      </c>
    </row>
    <row r="226">
      <c r="A226" s="16">
        <f>IF(C226="","",TEXT(C226,"mmmm"))</f>
        <v/>
      </c>
      <c r="B226" s="16">
        <f>IF(C226="","","Semana "&amp;ROUNDUP(DAY(C226)/7,0))</f>
        <v/>
      </c>
      <c r="C226" s="34" t="n"/>
      <c r="D226" s="16">
        <f>IF(C226="","",TEXT(C226,"dddd"))</f>
        <v/>
      </c>
      <c r="E226" s="16" t="n"/>
      <c r="F226" s="16">
        <f>IF(G226&lt;&gt;"",IF(LEFT(UPPER(TRIM(G226)),1)="V","Drogaria Venancio",""),IF(H226&lt;&gt;"","Cristal",""))</f>
        <v/>
      </c>
      <c r="G226" s="16" t="n"/>
      <c r="H226" s="16" t="n"/>
      <c r="I226" s="16" t="n"/>
      <c r="J226" s="16" t="n"/>
      <c r="K226" s="16" t="n"/>
      <c r="L226" s="16" t="n"/>
      <c r="M226" s="35">
        <f>IF(I226="","",HYPERLINK("https://www.google.com/maps/search/?api=1&amp;query="&amp;SUBSTITUTE(I226&amp;", "&amp;J226&amp;", Rio de Janeiro"," ","+"),"Abrir no Maps"))</f>
        <v/>
      </c>
    </row>
    <row r="227">
      <c r="A227" s="20">
        <f>IF(C227="","",TEXT(C227,"mmmm"))</f>
        <v/>
      </c>
      <c r="B227" s="20">
        <f>IF(C227="","","Semana "&amp;ROUNDUP(DAY(C227)/7,0))</f>
        <v/>
      </c>
      <c r="C227" s="36" t="n"/>
      <c r="D227" s="20">
        <f>IF(C227="","",TEXT(C227,"dddd"))</f>
        <v/>
      </c>
      <c r="E227" s="20" t="n"/>
      <c r="F227" s="20">
        <f>IF(G227&lt;&gt;"",IF(LEFT(UPPER(TRIM(G227)),1)="V","Drogaria Venancio",""),IF(H227&lt;&gt;"","Cristal",""))</f>
        <v/>
      </c>
      <c r="G227" s="20" t="n"/>
      <c r="H227" s="20" t="n"/>
      <c r="I227" s="20" t="n"/>
      <c r="J227" s="20" t="n"/>
      <c r="K227" s="20" t="n"/>
      <c r="L227" s="20" t="n"/>
      <c r="M227" s="37">
        <f>IF(I227="","",HYPERLINK("https://www.google.com/maps/search/?api=1&amp;query="&amp;SUBSTITUTE(I227&amp;", "&amp;J227&amp;", Rio de Janeiro"," ","+"),"Abrir no Maps"))</f>
        <v/>
      </c>
    </row>
    <row r="228">
      <c r="A228" s="16">
        <f>IF(C228="","",TEXT(C228,"mmmm"))</f>
        <v/>
      </c>
      <c r="B228" s="16">
        <f>IF(C228="","","Semana "&amp;ROUNDUP(DAY(C228)/7,0))</f>
        <v/>
      </c>
      <c r="C228" s="34" t="n"/>
      <c r="D228" s="16">
        <f>IF(C228="","",TEXT(C228,"dddd"))</f>
        <v/>
      </c>
      <c r="E228" s="16" t="n"/>
      <c r="F228" s="16">
        <f>IF(G228&lt;&gt;"",IF(LEFT(UPPER(TRIM(G228)),1)="V","Drogaria Venancio",""),IF(H228&lt;&gt;"","Cristal",""))</f>
        <v/>
      </c>
      <c r="G228" s="16" t="n"/>
      <c r="H228" s="16" t="n"/>
      <c r="I228" s="16" t="n"/>
      <c r="J228" s="16" t="n"/>
      <c r="K228" s="16" t="n"/>
      <c r="L228" s="16" t="n"/>
      <c r="M228" s="35">
        <f>IF(I228="","",HYPERLINK("https://www.google.com/maps/search/?api=1&amp;query="&amp;SUBSTITUTE(I228&amp;", "&amp;J228&amp;", Rio de Janeiro"," ","+"),"Abrir no Maps"))</f>
        <v/>
      </c>
    </row>
    <row r="229">
      <c r="A229" s="20">
        <f>IF(C229="","",TEXT(C229,"mmmm"))</f>
        <v/>
      </c>
      <c r="B229" s="20">
        <f>IF(C229="","","Semana "&amp;ROUNDUP(DAY(C229)/7,0))</f>
        <v/>
      </c>
      <c r="C229" s="36" t="n"/>
      <c r="D229" s="20">
        <f>IF(C229="","",TEXT(C229,"dddd"))</f>
        <v/>
      </c>
      <c r="E229" s="20" t="n"/>
      <c r="F229" s="20">
        <f>IF(G229&lt;&gt;"",IF(LEFT(UPPER(TRIM(G229)),1)="V","Drogaria Venancio",""),IF(H229&lt;&gt;"","Cristal",""))</f>
        <v/>
      </c>
      <c r="G229" s="20" t="n"/>
      <c r="H229" s="20" t="n"/>
      <c r="I229" s="20" t="n"/>
      <c r="J229" s="20" t="n"/>
      <c r="K229" s="20" t="n"/>
      <c r="L229" s="20" t="n"/>
      <c r="M229" s="37">
        <f>IF(I229="","",HYPERLINK("https://www.google.com/maps/search/?api=1&amp;query="&amp;SUBSTITUTE(I229&amp;", "&amp;J229&amp;", Rio de Janeiro"," ","+"),"Abrir no Maps"))</f>
        <v/>
      </c>
    </row>
    <row r="230">
      <c r="A230" s="16">
        <f>IF(C230="","",TEXT(C230,"mmmm"))</f>
        <v/>
      </c>
      <c r="B230" s="16">
        <f>IF(C230="","","Semana "&amp;ROUNDUP(DAY(C230)/7,0))</f>
        <v/>
      </c>
      <c r="C230" s="34" t="n"/>
      <c r="D230" s="16">
        <f>IF(C230="","",TEXT(C230,"dddd"))</f>
        <v/>
      </c>
      <c r="E230" s="16" t="n"/>
      <c r="F230" s="16">
        <f>IF(G230&lt;&gt;"",IF(LEFT(UPPER(TRIM(G230)),1)="V","Drogaria Venancio",""),IF(H230&lt;&gt;"","Cristal",""))</f>
        <v/>
      </c>
      <c r="G230" s="16" t="n"/>
      <c r="H230" s="16" t="n"/>
      <c r="I230" s="16" t="n"/>
      <c r="J230" s="16" t="n"/>
      <c r="K230" s="16" t="n"/>
      <c r="L230" s="16" t="n"/>
      <c r="M230" s="35">
        <f>IF(I230="","",HYPERLINK("https://www.google.com/maps/search/?api=1&amp;query="&amp;SUBSTITUTE(I230&amp;", "&amp;J230&amp;", Rio de Janeiro"," ","+"),"Abrir no Maps"))</f>
        <v/>
      </c>
    </row>
    <row r="231">
      <c r="A231" s="20">
        <f>IF(C231="","",TEXT(C231,"mmmm"))</f>
        <v/>
      </c>
      <c r="B231" s="20">
        <f>IF(C231="","","Semana "&amp;ROUNDUP(DAY(C231)/7,0))</f>
        <v/>
      </c>
      <c r="C231" s="36" t="n"/>
      <c r="D231" s="20">
        <f>IF(C231="","",TEXT(C231,"dddd"))</f>
        <v/>
      </c>
      <c r="E231" s="20" t="n"/>
      <c r="F231" s="20">
        <f>IF(G231&lt;&gt;"",IF(LEFT(UPPER(TRIM(G231)),1)="V","Drogaria Venancio",""),IF(H231&lt;&gt;"","Cristal",""))</f>
        <v/>
      </c>
      <c r="G231" s="20" t="n"/>
      <c r="H231" s="20" t="n"/>
      <c r="I231" s="20" t="n"/>
      <c r="J231" s="20" t="n"/>
      <c r="K231" s="20" t="n"/>
      <c r="L231" s="20" t="n"/>
      <c r="M231" s="37">
        <f>IF(I231="","",HYPERLINK("https://www.google.com/maps/search/?api=1&amp;query="&amp;SUBSTITUTE(I231&amp;", "&amp;J231&amp;", Rio de Janeiro"," ","+"),"Abrir no Maps"))</f>
        <v/>
      </c>
    </row>
    <row r="232">
      <c r="A232" s="16">
        <f>IF(C232="","",TEXT(C232,"mmmm"))</f>
        <v/>
      </c>
      <c r="B232" s="16">
        <f>IF(C232="","","Semana "&amp;ROUNDUP(DAY(C232)/7,0))</f>
        <v/>
      </c>
      <c r="C232" s="34" t="n"/>
      <c r="D232" s="16">
        <f>IF(C232="","",TEXT(C232,"dddd"))</f>
        <v/>
      </c>
      <c r="E232" s="16" t="n"/>
      <c r="F232" s="16">
        <f>IF(G232&lt;&gt;"",IF(LEFT(UPPER(TRIM(G232)),1)="V","Drogaria Venancio",""),IF(H232&lt;&gt;"","Cristal",""))</f>
        <v/>
      </c>
      <c r="G232" s="16" t="n"/>
      <c r="H232" s="16" t="n"/>
      <c r="I232" s="16" t="n"/>
      <c r="J232" s="16" t="n"/>
      <c r="K232" s="16" t="n"/>
      <c r="L232" s="16" t="n"/>
      <c r="M232" s="35">
        <f>IF(I232="","",HYPERLINK("https://www.google.com/maps/search/?api=1&amp;query="&amp;SUBSTITUTE(I232&amp;", "&amp;J232&amp;", Rio de Janeiro"," ","+"),"Abrir no Maps"))</f>
        <v/>
      </c>
    </row>
    <row r="233">
      <c r="A233" s="20">
        <f>IF(C233="","",TEXT(C233,"mmmm"))</f>
        <v/>
      </c>
      <c r="B233" s="20">
        <f>IF(C233="","","Semana "&amp;ROUNDUP(DAY(C233)/7,0))</f>
        <v/>
      </c>
      <c r="C233" s="36" t="n"/>
      <c r="D233" s="20">
        <f>IF(C233="","",TEXT(C233,"dddd"))</f>
        <v/>
      </c>
      <c r="E233" s="20" t="n"/>
      <c r="F233" s="20">
        <f>IF(G233&lt;&gt;"",IF(LEFT(UPPER(TRIM(G233)),1)="V","Drogaria Venancio",""),IF(H233&lt;&gt;"","Cristal",""))</f>
        <v/>
      </c>
      <c r="G233" s="20" t="n"/>
      <c r="H233" s="20" t="n"/>
      <c r="I233" s="20" t="n"/>
      <c r="J233" s="20" t="n"/>
      <c r="K233" s="20" t="n"/>
      <c r="L233" s="20" t="n"/>
      <c r="M233" s="37">
        <f>IF(I233="","",HYPERLINK("https://www.google.com/maps/search/?api=1&amp;query="&amp;SUBSTITUTE(I233&amp;", "&amp;J233&amp;", Rio de Janeiro"," ","+"),"Abrir no Maps"))</f>
        <v/>
      </c>
    </row>
    <row r="234">
      <c r="A234" s="16">
        <f>IF(C234="","",TEXT(C234,"mmmm"))</f>
        <v/>
      </c>
      <c r="B234" s="16">
        <f>IF(C234="","","Semana "&amp;ROUNDUP(DAY(C234)/7,0))</f>
        <v/>
      </c>
      <c r="C234" s="34" t="n"/>
      <c r="D234" s="16">
        <f>IF(C234="","",TEXT(C234,"dddd"))</f>
        <v/>
      </c>
      <c r="E234" s="16" t="n"/>
      <c r="F234" s="16">
        <f>IF(G234&lt;&gt;"",IF(LEFT(UPPER(TRIM(G234)),1)="V","Drogaria Venancio",""),IF(H234&lt;&gt;"","Cristal",""))</f>
        <v/>
      </c>
      <c r="G234" s="16" t="n"/>
      <c r="H234" s="16" t="n"/>
      <c r="I234" s="16" t="n"/>
      <c r="J234" s="16" t="n"/>
      <c r="K234" s="16" t="n"/>
      <c r="L234" s="16" t="n"/>
      <c r="M234" s="35">
        <f>IF(I234="","",HYPERLINK("https://www.google.com/maps/search/?api=1&amp;query="&amp;SUBSTITUTE(I234&amp;", "&amp;J234&amp;", Rio de Janeiro"," ","+"),"Abrir no Maps"))</f>
        <v/>
      </c>
    </row>
    <row r="235">
      <c r="A235" s="20">
        <f>IF(C235="","",TEXT(C235,"mmmm"))</f>
        <v/>
      </c>
      <c r="B235" s="20">
        <f>IF(C235="","","Semana "&amp;ROUNDUP(DAY(C235)/7,0))</f>
        <v/>
      </c>
      <c r="C235" s="36" t="n"/>
      <c r="D235" s="20">
        <f>IF(C235="","",TEXT(C235,"dddd"))</f>
        <v/>
      </c>
      <c r="E235" s="20" t="n"/>
      <c r="F235" s="20">
        <f>IF(G235&lt;&gt;"",IF(LEFT(UPPER(TRIM(G235)),1)="V","Drogaria Venancio",""),IF(H235&lt;&gt;"","Cristal",""))</f>
        <v/>
      </c>
      <c r="G235" s="20" t="n"/>
      <c r="H235" s="20" t="n"/>
      <c r="I235" s="20" t="n"/>
      <c r="J235" s="20" t="n"/>
      <c r="K235" s="20" t="n"/>
      <c r="L235" s="20" t="n"/>
      <c r="M235" s="37">
        <f>IF(I235="","",HYPERLINK("https://www.google.com/maps/search/?api=1&amp;query="&amp;SUBSTITUTE(I235&amp;", "&amp;J235&amp;", Rio de Janeiro"," ","+"),"Abrir no Maps"))</f>
        <v/>
      </c>
    </row>
    <row r="236">
      <c r="A236" s="16">
        <f>IF(C236="","",TEXT(C236,"mmmm"))</f>
        <v/>
      </c>
      <c r="B236" s="16">
        <f>IF(C236="","","Semana "&amp;ROUNDUP(DAY(C236)/7,0))</f>
        <v/>
      </c>
      <c r="C236" s="34" t="n"/>
      <c r="D236" s="16">
        <f>IF(C236="","",TEXT(C236,"dddd"))</f>
        <v/>
      </c>
      <c r="E236" s="16" t="n"/>
      <c r="F236" s="16">
        <f>IF(G236&lt;&gt;"",IF(LEFT(UPPER(TRIM(G236)),1)="V","Drogaria Venancio",""),IF(H236&lt;&gt;"","Cristal",""))</f>
        <v/>
      </c>
      <c r="G236" s="16" t="n"/>
      <c r="H236" s="16" t="n"/>
      <c r="I236" s="16" t="n"/>
      <c r="J236" s="16" t="n"/>
      <c r="K236" s="16" t="n"/>
      <c r="L236" s="16" t="n"/>
      <c r="M236" s="35">
        <f>IF(I236="","",HYPERLINK("https://www.google.com/maps/search/?api=1&amp;query="&amp;SUBSTITUTE(I236&amp;", "&amp;J236&amp;", Rio de Janeiro"," ","+"),"Abrir no Maps"))</f>
        <v/>
      </c>
    </row>
    <row r="237">
      <c r="A237" s="20">
        <f>IF(C237="","",TEXT(C237,"mmmm"))</f>
        <v/>
      </c>
      <c r="B237" s="20">
        <f>IF(C237="","","Semana "&amp;ROUNDUP(DAY(C237)/7,0))</f>
        <v/>
      </c>
      <c r="C237" s="36" t="n"/>
      <c r="D237" s="20">
        <f>IF(C237="","",TEXT(C237,"dddd"))</f>
        <v/>
      </c>
      <c r="E237" s="20" t="n"/>
      <c r="F237" s="20">
        <f>IF(G237&lt;&gt;"",IF(LEFT(UPPER(TRIM(G237)),1)="V","Drogaria Venancio",""),IF(H237&lt;&gt;"","Cristal",""))</f>
        <v/>
      </c>
      <c r="G237" s="20" t="n"/>
      <c r="H237" s="20" t="n"/>
      <c r="I237" s="20" t="n"/>
      <c r="J237" s="20" t="n"/>
      <c r="K237" s="20" t="n"/>
      <c r="L237" s="20" t="n"/>
      <c r="M237" s="37">
        <f>IF(I237="","",HYPERLINK("https://www.google.com/maps/search/?api=1&amp;query="&amp;SUBSTITUTE(I237&amp;", "&amp;J237&amp;", Rio de Janeiro"," ","+"),"Abrir no Maps"))</f>
        <v/>
      </c>
    </row>
    <row r="238">
      <c r="A238" s="16">
        <f>IF(C238="","",TEXT(C238,"mmmm"))</f>
        <v/>
      </c>
      <c r="B238" s="16">
        <f>IF(C238="","","Semana "&amp;ROUNDUP(DAY(C238)/7,0))</f>
        <v/>
      </c>
      <c r="C238" s="34" t="n"/>
      <c r="D238" s="16">
        <f>IF(C238="","",TEXT(C238,"dddd"))</f>
        <v/>
      </c>
      <c r="E238" s="16" t="n"/>
      <c r="F238" s="16">
        <f>IF(G238&lt;&gt;"",IF(LEFT(UPPER(TRIM(G238)),1)="V","Drogaria Venancio",""),IF(H238&lt;&gt;"","Cristal",""))</f>
        <v/>
      </c>
      <c r="G238" s="16" t="n"/>
      <c r="H238" s="16" t="n"/>
      <c r="I238" s="16" t="n"/>
      <c r="J238" s="16" t="n"/>
      <c r="K238" s="16" t="n"/>
      <c r="L238" s="16" t="n"/>
      <c r="M238" s="35">
        <f>IF(I238="","",HYPERLINK("https://www.google.com/maps/search/?api=1&amp;query="&amp;SUBSTITUTE(I238&amp;", "&amp;J238&amp;", Rio de Janeiro"," ","+"),"Abrir no Maps"))</f>
        <v/>
      </c>
    </row>
    <row r="239">
      <c r="A239" s="20">
        <f>IF(C239="","",TEXT(C239,"mmmm"))</f>
        <v/>
      </c>
      <c r="B239" s="20">
        <f>IF(C239="","","Semana "&amp;ROUNDUP(DAY(C239)/7,0))</f>
        <v/>
      </c>
      <c r="C239" s="36" t="n"/>
      <c r="D239" s="20">
        <f>IF(C239="","",TEXT(C239,"dddd"))</f>
        <v/>
      </c>
      <c r="E239" s="20" t="n"/>
      <c r="F239" s="20">
        <f>IF(G239&lt;&gt;"",IF(LEFT(UPPER(TRIM(G239)),1)="V","Drogaria Venancio",""),IF(H239&lt;&gt;"","Cristal",""))</f>
        <v/>
      </c>
      <c r="G239" s="20" t="n"/>
      <c r="H239" s="20" t="n"/>
      <c r="I239" s="20" t="n"/>
      <c r="J239" s="20" t="n"/>
      <c r="K239" s="20" t="n"/>
      <c r="L239" s="20" t="n"/>
      <c r="M239" s="37">
        <f>IF(I239="","",HYPERLINK("https://www.google.com/maps/search/?api=1&amp;query="&amp;SUBSTITUTE(I239&amp;", "&amp;J239&amp;", Rio de Janeiro"," ","+"),"Abrir no Maps"))</f>
        <v/>
      </c>
    </row>
    <row r="240">
      <c r="A240" s="16">
        <f>IF(C240="","",TEXT(C240,"mmmm"))</f>
        <v/>
      </c>
      <c r="B240" s="16">
        <f>IF(C240="","","Semana "&amp;ROUNDUP(DAY(C240)/7,0))</f>
        <v/>
      </c>
      <c r="C240" s="34" t="n"/>
      <c r="D240" s="16">
        <f>IF(C240="","",TEXT(C240,"dddd"))</f>
        <v/>
      </c>
      <c r="E240" s="16" t="n"/>
      <c r="F240" s="16">
        <f>IF(G240&lt;&gt;"",IF(LEFT(UPPER(TRIM(G240)),1)="V","Drogaria Venancio",""),IF(H240&lt;&gt;"","Cristal",""))</f>
        <v/>
      </c>
      <c r="G240" s="16" t="n"/>
      <c r="H240" s="16" t="n"/>
      <c r="I240" s="16" t="n"/>
      <c r="J240" s="16" t="n"/>
      <c r="K240" s="16" t="n"/>
      <c r="L240" s="16" t="n"/>
      <c r="M240" s="35">
        <f>IF(I240="","",HYPERLINK("https://www.google.com/maps/search/?api=1&amp;query="&amp;SUBSTITUTE(I240&amp;", "&amp;J240&amp;", Rio de Janeiro"," ","+"),"Abrir no Maps"))</f>
        <v/>
      </c>
    </row>
    <row r="241">
      <c r="A241" s="20">
        <f>IF(C241="","",TEXT(C241,"mmmm"))</f>
        <v/>
      </c>
      <c r="B241" s="20">
        <f>IF(C241="","","Semana "&amp;ROUNDUP(DAY(C241)/7,0))</f>
        <v/>
      </c>
      <c r="C241" s="36" t="n"/>
      <c r="D241" s="20">
        <f>IF(C241="","",TEXT(C241,"dddd"))</f>
        <v/>
      </c>
      <c r="E241" s="20" t="n"/>
      <c r="F241" s="20">
        <f>IF(G241&lt;&gt;"",IF(LEFT(UPPER(TRIM(G241)),1)="V","Drogaria Venancio",""),IF(H241&lt;&gt;"","Cristal",""))</f>
        <v/>
      </c>
      <c r="G241" s="20" t="n"/>
      <c r="H241" s="20" t="n"/>
      <c r="I241" s="20" t="n"/>
      <c r="J241" s="20" t="n"/>
      <c r="K241" s="20" t="n"/>
      <c r="L241" s="20" t="n"/>
      <c r="M241" s="37">
        <f>IF(I241="","",HYPERLINK("https://www.google.com/maps/search/?api=1&amp;query="&amp;SUBSTITUTE(I241&amp;", "&amp;J241&amp;", Rio de Janeiro"," ","+"),"Abrir no Maps"))</f>
        <v/>
      </c>
    </row>
    <row r="242">
      <c r="A242" s="16">
        <f>IF(C242="","",TEXT(C242,"mmmm"))</f>
        <v/>
      </c>
      <c r="B242" s="16">
        <f>IF(C242="","","Semana "&amp;ROUNDUP(DAY(C242)/7,0))</f>
        <v/>
      </c>
      <c r="C242" s="34" t="n"/>
      <c r="D242" s="16">
        <f>IF(C242="","",TEXT(C242,"dddd"))</f>
        <v/>
      </c>
      <c r="E242" s="16" t="n"/>
      <c r="F242" s="16">
        <f>IF(G242&lt;&gt;"",IF(LEFT(UPPER(TRIM(G242)),1)="V","Drogaria Venancio",""),IF(H242&lt;&gt;"","Cristal",""))</f>
        <v/>
      </c>
      <c r="G242" s="16" t="n"/>
      <c r="H242" s="16" t="n"/>
      <c r="I242" s="16" t="n"/>
      <c r="J242" s="16" t="n"/>
      <c r="K242" s="16" t="n"/>
      <c r="L242" s="16" t="n"/>
      <c r="M242" s="35">
        <f>IF(I242="","",HYPERLINK("https://www.google.com/maps/search/?api=1&amp;query="&amp;SUBSTITUTE(I242&amp;", "&amp;J242&amp;", Rio de Janeiro"," ","+"),"Abrir no Maps"))</f>
        <v/>
      </c>
    </row>
    <row r="243">
      <c r="A243" s="20">
        <f>IF(C243="","",TEXT(C243,"mmmm"))</f>
        <v/>
      </c>
      <c r="B243" s="20">
        <f>IF(C243="","","Semana "&amp;ROUNDUP(DAY(C243)/7,0))</f>
        <v/>
      </c>
      <c r="C243" s="36" t="n"/>
      <c r="D243" s="20">
        <f>IF(C243="","",TEXT(C243,"dddd"))</f>
        <v/>
      </c>
      <c r="E243" s="20" t="n"/>
      <c r="F243" s="20">
        <f>IF(G243&lt;&gt;"",IF(LEFT(UPPER(TRIM(G243)),1)="V","Drogaria Venancio",""),IF(H243&lt;&gt;"","Cristal",""))</f>
        <v/>
      </c>
      <c r="G243" s="20" t="n"/>
      <c r="H243" s="20" t="n"/>
      <c r="I243" s="20" t="n"/>
      <c r="J243" s="20" t="n"/>
      <c r="K243" s="20" t="n"/>
      <c r="L243" s="20" t="n"/>
      <c r="M243" s="37">
        <f>IF(I243="","",HYPERLINK("https://www.google.com/maps/search/?api=1&amp;query="&amp;SUBSTITUTE(I243&amp;", "&amp;J243&amp;", Rio de Janeiro"," ","+"),"Abrir no Maps"))</f>
        <v/>
      </c>
    </row>
    <row r="244">
      <c r="A244" s="16">
        <f>IF(C244="","",TEXT(C244,"mmmm"))</f>
        <v/>
      </c>
      <c r="B244" s="16">
        <f>IF(C244="","","Semana "&amp;ROUNDUP(DAY(C244)/7,0))</f>
        <v/>
      </c>
      <c r="C244" s="34" t="n"/>
      <c r="D244" s="16">
        <f>IF(C244="","",TEXT(C244,"dddd"))</f>
        <v/>
      </c>
      <c r="E244" s="16" t="n"/>
      <c r="F244" s="16">
        <f>IF(G244&lt;&gt;"",IF(LEFT(UPPER(TRIM(G244)),1)="V","Drogaria Venancio",""),IF(H244&lt;&gt;"","Cristal",""))</f>
        <v/>
      </c>
      <c r="G244" s="16" t="n"/>
      <c r="H244" s="16" t="n"/>
      <c r="I244" s="16" t="n"/>
      <c r="J244" s="16" t="n"/>
      <c r="K244" s="16" t="n"/>
      <c r="L244" s="16" t="n"/>
      <c r="M244" s="35">
        <f>IF(I244="","",HYPERLINK("https://www.google.com/maps/search/?api=1&amp;query="&amp;SUBSTITUTE(I244&amp;", "&amp;J244&amp;", Rio de Janeiro"," ","+"),"Abrir no Maps"))</f>
        <v/>
      </c>
    </row>
    <row r="245">
      <c r="A245" s="20">
        <f>IF(C245="","",TEXT(C245,"mmmm"))</f>
        <v/>
      </c>
      <c r="B245" s="20">
        <f>IF(C245="","","Semana "&amp;ROUNDUP(DAY(C245)/7,0))</f>
        <v/>
      </c>
      <c r="C245" s="36" t="n"/>
      <c r="D245" s="20">
        <f>IF(C245="","",TEXT(C245,"dddd"))</f>
        <v/>
      </c>
      <c r="E245" s="20" t="n"/>
      <c r="F245" s="20">
        <f>IF(G245&lt;&gt;"",IF(LEFT(UPPER(TRIM(G245)),1)="V","Drogaria Venancio",""),IF(H245&lt;&gt;"","Cristal",""))</f>
        <v/>
      </c>
      <c r="G245" s="20" t="n"/>
      <c r="H245" s="20" t="n"/>
      <c r="I245" s="20" t="n"/>
      <c r="J245" s="20" t="n"/>
      <c r="K245" s="20" t="n"/>
      <c r="L245" s="20" t="n"/>
      <c r="M245" s="37">
        <f>IF(I245="","",HYPERLINK("https://www.google.com/maps/search/?api=1&amp;query="&amp;SUBSTITUTE(I245&amp;", "&amp;J245&amp;", Rio de Janeiro"," ","+"),"Abrir no Maps"))</f>
        <v/>
      </c>
    </row>
    <row r="246">
      <c r="A246" s="16">
        <f>IF(C246="","",TEXT(C246,"mmmm"))</f>
        <v/>
      </c>
      <c r="B246" s="16">
        <f>IF(C246="","","Semana "&amp;ROUNDUP(DAY(C246)/7,0))</f>
        <v/>
      </c>
      <c r="C246" s="34" t="n"/>
      <c r="D246" s="16">
        <f>IF(C246="","",TEXT(C246,"dddd"))</f>
        <v/>
      </c>
      <c r="E246" s="16" t="n"/>
      <c r="F246" s="16">
        <f>IF(G246&lt;&gt;"",IF(LEFT(UPPER(TRIM(G246)),1)="V","Drogaria Venancio",""),IF(H246&lt;&gt;"","Cristal",""))</f>
        <v/>
      </c>
      <c r="G246" s="16" t="n"/>
      <c r="H246" s="16" t="n"/>
      <c r="I246" s="16" t="n"/>
      <c r="J246" s="16" t="n"/>
      <c r="K246" s="16" t="n"/>
      <c r="L246" s="16" t="n"/>
      <c r="M246" s="35">
        <f>IF(I246="","",HYPERLINK("https://www.google.com/maps/search/?api=1&amp;query="&amp;SUBSTITUTE(I246&amp;", "&amp;J246&amp;", Rio de Janeiro"," ","+"),"Abrir no Maps"))</f>
        <v/>
      </c>
    </row>
    <row r="247">
      <c r="A247" s="20">
        <f>IF(C247="","",TEXT(C247,"mmmm"))</f>
        <v/>
      </c>
      <c r="B247" s="20">
        <f>IF(C247="","","Semana "&amp;ROUNDUP(DAY(C247)/7,0))</f>
        <v/>
      </c>
      <c r="C247" s="36" t="n"/>
      <c r="D247" s="20">
        <f>IF(C247="","",TEXT(C247,"dddd"))</f>
        <v/>
      </c>
      <c r="E247" s="20" t="n"/>
      <c r="F247" s="20">
        <f>IF(G247&lt;&gt;"",IF(LEFT(UPPER(TRIM(G247)),1)="V","Drogaria Venancio",""),IF(H247&lt;&gt;"","Cristal",""))</f>
        <v/>
      </c>
      <c r="G247" s="20" t="n"/>
      <c r="H247" s="20" t="n"/>
      <c r="I247" s="20" t="n"/>
      <c r="J247" s="20" t="n"/>
      <c r="K247" s="20" t="n"/>
      <c r="L247" s="20" t="n"/>
      <c r="M247" s="37">
        <f>IF(I247="","",HYPERLINK("https://www.google.com/maps/search/?api=1&amp;query="&amp;SUBSTITUTE(I247&amp;", "&amp;J247&amp;", Rio de Janeiro"," ","+"),"Abrir no Maps"))</f>
        <v/>
      </c>
    </row>
    <row r="248">
      <c r="A248" s="16">
        <f>IF(C248="","",TEXT(C248,"mmmm"))</f>
        <v/>
      </c>
      <c r="B248" s="16">
        <f>IF(C248="","","Semana "&amp;ROUNDUP(DAY(C248)/7,0))</f>
        <v/>
      </c>
      <c r="C248" s="34" t="n"/>
      <c r="D248" s="16">
        <f>IF(C248="","",TEXT(C248,"dddd"))</f>
        <v/>
      </c>
      <c r="E248" s="16" t="n"/>
      <c r="F248" s="16">
        <f>IF(G248&lt;&gt;"",IF(LEFT(UPPER(TRIM(G248)),1)="V","Drogaria Venancio",""),IF(H248&lt;&gt;"","Cristal",""))</f>
        <v/>
      </c>
      <c r="G248" s="16" t="n"/>
      <c r="H248" s="16" t="n"/>
      <c r="I248" s="16" t="n"/>
      <c r="J248" s="16" t="n"/>
      <c r="K248" s="16" t="n"/>
      <c r="L248" s="16" t="n"/>
      <c r="M248" s="35">
        <f>IF(I248="","",HYPERLINK("https://www.google.com/maps/search/?api=1&amp;query="&amp;SUBSTITUTE(I248&amp;", "&amp;J248&amp;", Rio de Janeiro"," ","+"),"Abrir no Maps"))</f>
        <v/>
      </c>
    </row>
    <row r="249">
      <c r="A249" s="20">
        <f>IF(C249="","",TEXT(C249,"mmmm"))</f>
        <v/>
      </c>
      <c r="B249" s="20">
        <f>IF(C249="","","Semana "&amp;ROUNDUP(DAY(C249)/7,0))</f>
        <v/>
      </c>
      <c r="C249" s="36" t="n"/>
      <c r="D249" s="20">
        <f>IF(C249="","",TEXT(C249,"dddd"))</f>
        <v/>
      </c>
      <c r="E249" s="20" t="n"/>
      <c r="F249" s="20">
        <f>IF(G249&lt;&gt;"",IF(LEFT(UPPER(TRIM(G249)),1)="V","Drogaria Venancio",""),IF(H249&lt;&gt;"","Cristal",""))</f>
        <v/>
      </c>
      <c r="G249" s="20" t="n"/>
      <c r="H249" s="20" t="n"/>
      <c r="I249" s="20" t="n"/>
      <c r="J249" s="20" t="n"/>
      <c r="K249" s="20" t="n"/>
      <c r="L249" s="20" t="n"/>
      <c r="M249" s="37">
        <f>IF(I249="","",HYPERLINK("https://www.google.com/maps/search/?api=1&amp;query="&amp;SUBSTITUTE(I249&amp;", "&amp;J249&amp;", Rio de Janeiro"," ","+"),"Abrir no Maps"))</f>
        <v/>
      </c>
    </row>
    <row r="250">
      <c r="A250" s="16">
        <f>IF(C250="","",TEXT(C250,"mmmm"))</f>
        <v/>
      </c>
      <c r="B250" s="16">
        <f>IF(C250="","","Semana "&amp;ROUNDUP(DAY(C250)/7,0))</f>
        <v/>
      </c>
      <c r="C250" s="34" t="n"/>
      <c r="D250" s="16">
        <f>IF(C250="","",TEXT(C250,"dddd"))</f>
        <v/>
      </c>
      <c r="E250" s="16" t="n"/>
      <c r="F250" s="16">
        <f>IF(G250&lt;&gt;"",IF(LEFT(UPPER(TRIM(G250)),1)="V","Drogaria Venancio",""),IF(H250&lt;&gt;"","Cristal",""))</f>
        <v/>
      </c>
      <c r="G250" s="16" t="n"/>
      <c r="H250" s="16" t="n"/>
      <c r="I250" s="16" t="n"/>
      <c r="J250" s="16" t="n"/>
      <c r="K250" s="16" t="n"/>
      <c r="L250" s="16" t="n"/>
      <c r="M250" s="35">
        <f>IF(I250="","",HYPERLINK("https://www.google.com/maps/search/?api=1&amp;query="&amp;SUBSTITUTE(I250&amp;", "&amp;J250&amp;", Rio de Janeiro"," ","+"),"Abrir no Maps"))</f>
        <v/>
      </c>
    </row>
    <row r="251">
      <c r="A251" s="20">
        <f>IF(C251="","",TEXT(C251,"mmmm"))</f>
        <v/>
      </c>
      <c r="B251" s="20">
        <f>IF(C251="","","Semana "&amp;ROUNDUP(DAY(C251)/7,0))</f>
        <v/>
      </c>
      <c r="C251" s="36" t="n"/>
      <c r="D251" s="20">
        <f>IF(C251="","",TEXT(C251,"dddd"))</f>
        <v/>
      </c>
      <c r="E251" s="20" t="n"/>
      <c r="F251" s="20">
        <f>IF(G251&lt;&gt;"",IF(LEFT(UPPER(TRIM(G251)),1)="V","Drogaria Venancio",""),IF(H251&lt;&gt;"","Cristal",""))</f>
        <v/>
      </c>
      <c r="G251" s="20" t="n"/>
      <c r="H251" s="20" t="n"/>
      <c r="I251" s="20" t="n"/>
      <c r="J251" s="20" t="n"/>
      <c r="K251" s="20" t="n"/>
      <c r="L251" s="20" t="n"/>
      <c r="M251" s="37">
        <f>IF(I251="","",HYPERLINK("https://www.google.com/maps/search/?api=1&amp;query="&amp;SUBSTITUTE(I251&amp;", "&amp;J251&amp;", Rio de Janeiro"," ","+"),"Abrir no Maps"))</f>
        <v/>
      </c>
    </row>
    <row r="252">
      <c r="A252" s="16">
        <f>IF(C252="","",TEXT(C252,"mmmm"))</f>
        <v/>
      </c>
      <c r="B252" s="16">
        <f>IF(C252="","","Semana "&amp;ROUNDUP(DAY(C252)/7,0))</f>
        <v/>
      </c>
      <c r="C252" s="34" t="n"/>
      <c r="D252" s="16">
        <f>IF(C252="","",TEXT(C252,"dddd"))</f>
        <v/>
      </c>
      <c r="E252" s="16" t="n"/>
      <c r="F252" s="16">
        <f>IF(G252&lt;&gt;"",IF(LEFT(UPPER(TRIM(G252)),1)="V","Drogaria Venancio",""),IF(H252&lt;&gt;"","Cristal",""))</f>
        <v/>
      </c>
      <c r="G252" s="16" t="n"/>
      <c r="H252" s="16" t="n"/>
      <c r="I252" s="16" t="n"/>
      <c r="J252" s="16" t="n"/>
      <c r="K252" s="16" t="n"/>
      <c r="L252" s="16" t="n"/>
      <c r="M252" s="35">
        <f>IF(I252="","",HYPERLINK("https://www.google.com/maps/search/?api=1&amp;query="&amp;SUBSTITUTE(I252&amp;", "&amp;J252&amp;", Rio de Janeiro"," ","+"),"Abrir no Maps"))</f>
        <v/>
      </c>
    </row>
    <row r="253">
      <c r="A253" s="20">
        <f>IF(C253="","",TEXT(C253,"mmmm"))</f>
        <v/>
      </c>
      <c r="B253" s="20">
        <f>IF(C253="","","Semana "&amp;ROUNDUP(DAY(C253)/7,0))</f>
        <v/>
      </c>
      <c r="C253" s="36" t="n"/>
      <c r="D253" s="20">
        <f>IF(C253="","",TEXT(C253,"dddd"))</f>
        <v/>
      </c>
      <c r="E253" s="20" t="n"/>
      <c r="F253" s="20">
        <f>IF(G253&lt;&gt;"",IF(LEFT(UPPER(TRIM(G253)),1)="V","Drogaria Venancio",""),IF(H253&lt;&gt;"","Cristal",""))</f>
        <v/>
      </c>
      <c r="G253" s="20" t="n"/>
      <c r="H253" s="20" t="n"/>
      <c r="I253" s="20" t="n"/>
      <c r="J253" s="20" t="n"/>
      <c r="K253" s="20" t="n"/>
      <c r="L253" s="20" t="n"/>
      <c r="M253" s="37">
        <f>IF(I253="","",HYPERLINK("https://www.google.com/maps/search/?api=1&amp;query="&amp;SUBSTITUTE(I253&amp;", "&amp;J253&amp;", Rio de Janeiro"," ","+"),"Abrir no Maps"))</f>
        <v/>
      </c>
    </row>
    <row r="254">
      <c r="A254" s="16">
        <f>IF(C254="","",TEXT(C254,"mmmm"))</f>
        <v/>
      </c>
      <c r="B254" s="16">
        <f>IF(C254="","","Semana "&amp;ROUNDUP(DAY(C254)/7,0))</f>
        <v/>
      </c>
      <c r="C254" s="34" t="n"/>
      <c r="D254" s="16">
        <f>IF(C254="","",TEXT(C254,"dddd"))</f>
        <v/>
      </c>
      <c r="E254" s="16" t="n"/>
      <c r="F254" s="16">
        <f>IF(G254&lt;&gt;"",IF(LEFT(UPPER(TRIM(G254)),1)="V","Drogaria Venancio",""),IF(H254&lt;&gt;"","Cristal",""))</f>
        <v/>
      </c>
      <c r="G254" s="16" t="n"/>
      <c r="H254" s="16" t="n"/>
      <c r="I254" s="16" t="n"/>
      <c r="J254" s="16" t="n"/>
      <c r="K254" s="16" t="n"/>
      <c r="L254" s="16" t="n"/>
      <c r="M254" s="35">
        <f>IF(I254="","",HYPERLINK("https://www.google.com/maps/search/?api=1&amp;query="&amp;SUBSTITUTE(I254&amp;", "&amp;J254&amp;", Rio de Janeiro"," ","+"),"Abrir no Maps"))</f>
        <v/>
      </c>
    </row>
    <row r="255">
      <c r="A255" s="20">
        <f>IF(C255="","",TEXT(C255,"mmmm"))</f>
        <v/>
      </c>
      <c r="B255" s="20">
        <f>IF(C255="","","Semana "&amp;ROUNDUP(DAY(C255)/7,0))</f>
        <v/>
      </c>
      <c r="C255" s="36" t="n"/>
      <c r="D255" s="20">
        <f>IF(C255="","",TEXT(C255,"dddd"))</f>
        <v/>
      </c>
      <c r="E255" s="20" t="n"/>
      <c r="F255" s="20">
        <f>IF(G255&lt;&gt;"",IF(LEFT(UPPER(TRIM(G255)),1)="V","Drogaria Venancio",""),IF(H255&lt;&gt;"","Cristal",""))</f>
        <v/>
      </c>
      <c r="G255" s="20" t="n"/>
      <c r="H255" s="20" t="n"/>
      <c r="I255" s="20" t="n"/>
      <c r="J255" s="20" t="n"/>
      <c r="K255" s="20" t="n"/>
      <c r="L255" s="20" t="n"/>
      <c r="M255" s="37">
        <f>IF(I255="","",HYPERLINK("https://www.google.com/maps/search/?api=1&amp;query="&amp;SUBSTITUTE(I255&amp;", "&amp;J255&amp;", Rio de Janeiro"," ","+"),"Abrir no Maps"))</f>
        <v/>
      </c>
    </row>
    <row r="256">
      <c r="A256" s="16">
        <f>IF(C256="","",TEXT(C256,"mmmm"))</f>
        <v/>
      </c>
      <c r="B256" s="16">
        <f>IF(C256="","","Semana "&amp;ROUNDUP(DAY(C256)/7,0))</f>
        <v/>
      </c>
      <c r="C256" s="34" t="n"/>
      <c r="D256" s="16">
        <f>IF(C256="","",TEXT(C256,"dddd"))</f>
        <v/>
      </c>
      <c r="E256" s="16" t="n"/>
      <c r="F256" s="16">
        <f>IF(G256&lt;&gt;"",IF(LEFT(UPPER(TRIM(G256)),1)="V","Drogaria Venancio",""),IF(H256&lt;&gt;"","Cristal",""))</f>
        <v/>
      </c>
      <c r="G256" s="16" t="n"/>
      <c r="H256" s="16" t="n"/>
      <c r="I256" s="16" t="n"/>
      <c r="J256" s="16" t="n"/>
      <c r="K256" s="16" t="n"/>
      <c r="L256" s="16" t="n"/>
      <c r="M256" s="35">
        <f>IF(I256="","",HYPERLINK("https://www.google.com/maps/search/?api=1&amp;query="&amp;SUBSTITUTE(I256&amp;", "&amp;J256&amp;", Rio de Janeiro"," ","+"),"Abrir no Maps"))</f>
        <v/>
      </c>
    </row>
    <row r="257">
      <c r="A257" s="20">
        <f>IF(C257="","",TEXT(C257,"mmmm"))</f>
        <v/>
      </c>
      <c r="B257" s="20">
        <f>IF(C257="","","Semana "&amp;ROUNDUP(DAY(C257)/7,0))</f>
        <v/>
      </c>
      <c r="C257" s="36" t="n"/>
      <c r="D257" s="20">
        <f>IF(C257="","",TEXT(C257,"dddd"))</f>
        <v/>
      </c>
      <c r="E257" s="20" t="n"/>
      <c r="F257" s="20">
        <f>IF(G257&lt;&gt;"",IF(LEFT(UPPER(TRIM(G257)),1)="V","Drogaria Venancio",""),IF(H257&lt;&gt;"","Cristal",""))</f>
        <v/>
      </c>
      <c r="G257" s="20" t="n"/>
      <c r="H257" s="20" t="n"/>
      <c r="I257" s="20" t="n"/>
      <c r="J257" s="20" t="n"/>
      <c r="K257" s="20" t="n"/>
      <c r="L257" s="20" t="n"/>
      <c r="M257" s="37">
        <f>IF(I257="","",HYPERLINK("https://www.google.com/maps/search/?api=1&amp;query="&amp;SUBSTITUTE(I257&amp;", "&amp;J257&amp;", Rio de Janeiro"," ","+"),"Abrir no Maps"))</f>
        <v/>
      </c>
    </row>
    <row r="258">
      <c r="A258" s="16">
        <f>IF(C258="","",TEXT(C258,"mmmm"))</f>
        <v/>
      </c>
      <c r="B258" s="16">
        <f>IF(C258="","","Semana "&amp;ROUNDUP(DAY(C258)/7,0))</f>
        <v/>
      </c>
      <c r="C258" s="34" t="n"/>
      <c r="D258" s="16">
        <f>IF(C258="","",TEXT(C258,"dddd"))</f>
        <v/>
      </c>
      <c r="E258" s="16" t="n"/>
      <c r="F258" s="16">
        <f>IF(G258&lt;&gt;"",IF(LEFT(UPPER(TRIM(G258)),1)="V","Drogaria Venancio",""),IF(H258&lt;&gt;"","Cristal",""))</f>
        <v/>
      </c>
      <c r="G258" s="16" t="n"/>
      <c r="H258" s="16" t="n"/>
      <c r="I258" s="16" t="n"/>
      <c r="J258" s="16" t="n"/>
      <c r="K258" s="16" t="n"/>
      <c r="L258" s="16" t="n"/>
      <c r="M258" s="35">
        <f>IF(I258="","",HYPERLINK("https://www.google.com/maps/search/?api=1&amp;query="&amp;SUBSTITUTE(I258&amp;", "&amp;J258&amp;", Rio de Janeiro"," ","+"),"Abrir no Maps"))</f>
        <v/>
      </c>
    </row>
    <row r="259">
      <c r="A259" s="20">
        <f>IF(C259="","",TEXT(C259,"mmmm"))</f>
        <v/>
      </c>
      <c r="B259" s="20">
        <f>IF(C259="","","Semana "&amp;ROUNDUP(DAY(C259)/7,0))</f>
        <v/>
      </c>
      <c r="C259" s="36" t="n"/>
      <c r="D259" s="20">
        <f>IF(C259="","",TEXT(C259,"dddd"))</f>
        <v/>
      </c>
      <c r="E259" s="20" t="n"/>
      <c r="F259" s="20">
        <f>IF(G259&lt;&gt;"",IF(LEFT(UPPER(TRIM(G259)),1)="V","Drogaria Venancio",""),IF(H259&lt;&gt;"","Cristal",""))</f>
        <v/>
      </c>
      <c r="G259" s="20" t="n"/>
      <c r="H259" s="20" t="n"/>
      <c r="I259" s="20" t="n"/>
      <c r="J259" s="20" t="n"/>
      <c r="K259" s="20" t="n"/>
      <c r="L259" s="20" t="n"/>
      <c r="M259" s="37">
        <f>IF(I259="","",HYPERLINK("https://www.google.com/maps/search/?api=1&amp;query="&amp;SUBSTITUTE(I259&amp;", "&amp;J259&amp;", Rio de Janeiro"," ","+"),"Abrir no Maps"))</f>
        <v/>
      </c>
    </row>
    <row r="260">
      <c r="A260" s="16">
        <f>IF(C260="","",TEXT(C260,"mmmm"))</f>
        <v/>
      </c>
      <c r="B260" s="16">
        <f>IF(C260="","","Semana "&amp;ROUNDUP(DAY(C260)/7,0))</f>
        <v/>
      </c>
      <c r="C260" s="34" t="n"/>
      <c r="D260" s="16">
        <f>IF(C260="","",TEXT(C260,"dddd"))</f>
        <v/>
      </c>
      <c r="E260" s="16" t="n"/>
      <c r="F260" s="16">
        <f>IF(G260&lt;&gt;"",IF(LEFT(UPPER(TRIM(G260)),1)="V","Drogaria Venancio",""),IF(H260&lt;&gt;"","Cristal",""))</f>
        <v/>
      </c>
      <c r="G260" s="16" t="n"/>
      <c r="H260" s="16" t="n"/>
      <c r="I260" s="16" t="n"/>
      <c r="J260" s="16" t="n"/>
      <c r="K260" s="16" t="n"/>
      <c r="L260" s="16" t="n"/>
      <c r="M260" s="35">
        <f>IF(I260="","",HYPERLINK("https://www.google.com/maps/search/?api=1&amp;query="&amp;SUBSTITUTE(I260&amp;", "&amp;J260&amp;", Rio de Janeiro"," ","+"),"Abrir no Maps"))</f>
        <v/>
      </c>
    </row>
    <row r="261">
      <c r="A261" s="20">
        <f>IF(C261="","",TEXT(C261,"mmmm"))</f>
        <v/>
      </c>
      <c r="B261" s="20">
        <f>IF(C261="","","Semana "&amp;ROUNDUP(DAY(C261)/7,0))</f>
        <v/>
      </c>
      <c r="C261" s="36" t="n"/>
      <c r="D261" s="20">
        <f>IF(C261="","",TEXT(C261,"dddd"))</f>
        <v/>
      </c>
      <c r="E261" s="20" t="n"/>
      <c r="F261" s="20">
        <f>IF(G261&lt;&gt;"",IF(LEFT(UPPER(TRIM(G261)),1)="V","Drogaria Venancio",""),IF(H261&lt;&gt;"","Cristal",""))</f>
        <v/>
      </c>
      <c r="G261" s="20" t="n"/>
      <c r="H261" s="20" t="n"/>
      <c r="I261" s="20" t="n"/>
      <c r="J261" s="20" t="n"/>
      <c r="K261" s="20" t="n"/>
      <c r="L261" s="20" t="n"/>
      <c r="M261" s="37">
        <f>IF(I261="","",HYPERLINK("https://www.google.com/maps/search/?api=1&amp;query="&amp;SUBSTITUTE(I261&amp;", "&amp;J261&amp;", Rio de Janeiro"," ","+"),"Abrir no Maps"))</f>
        <v/>
      </c>
    </row>
    <row r="262">
      <c r="A262" s="16">
        <f>IF(C262="","",TEXT(C262,"mmmm"))</f>
        <v/>
      </c>
      <c r="B262" s="16">
        <f>IF(C262="","","Semana "&amp;ROUNDUP(DAY(C262)/7,0))</f>
        <v/>
      </c>
      <c r="C262" s="34" t="n"/>
      <c r="D262" s="16">
        <f>IF(C262="","",TEXT(C262,"dddd"))</f>
        <v/>
      </c>
      <c r="E262" s="16" t="n"/>
      <c r="F262" s="16">
        <f>IF(G262&lt;&gt;"",IF(LEFT(UPPER(TRIM(G262)),1)="V","Drogaria Venancio",""),IF(H262&lt;&gt;"","Cristal",""))</f>
        <v/>
      </c>
      <c r="G262" s="16" t="n"/>
      <c r="H262" s="16" t="n"/>
      <c r="I262" s="16" t="n"/>
      <c r="J262" s="16" t="n"/>
      <c r="K262" s="16" t="n"/>
      <c r="L262" s="16" t="n"/>
      <c r="M262" s="35">
        <f>IF(I262="","",HYPERLINK("https://www.google.com/maps/search/?api=1&amp;query="&amp;SUBSTITUTE(I262&amp;", "&amp;J262&amp;", Rio de Janeiro"," ","+"),"Abrir no Maps"))</f>
        <v/>
      </c>
    </row>
    <row r="263">
      <c r="A263" s="20">
        <f>IF(C263="","",TEXT(C263,"mmmm"))</f>
        <v/>
      </c>
      <c r="B263" s="20">
        <f>IF(C263="","","Semana "&amp;ROUNDUP(DAY(C263)/7,0))</f>
        <v/>
      </c>
      <c r="C263" s="36" t="n"/>
      <c r="D263" s="20">
        <f>IF(C263="","",TEXT(C263,"dddd"))</f>
        <v/>
      </c>
      <c r="E263" s="20" t="n"/>
      <c r="F263" s="20">
        <f>IF(G263&lt;&gt;"",IF(LEFT(UPPER(TRIM(G263)),1)="V","Drogaria Venancio",""),IF(H263&lt;&gt;"","Cristal",""))</f>
        <v/>
      </c>
      <c r="G263" s="20" t="n"/>
      <c r="H263" s="20" t="n"/>
      <c r="I263" s="20" t="n"/>
      <c r="J263" s="20" t="n"/>
      <c r="K263" s="20" t="n"/>
      <c r="L263" s="20" t="n"/>
      <c r="M263" s="37">
        <f>IF(I263="","",HYPERLINK("https://www.google.com/maps/search/?api=1&amp;query="&amp;SUBSTITUTE(I263&amp;", "&amp;J263&amp;", Rio de Janeiro"," ","+"),"Abrir no Maps"))</f>
        <v/>
      </c>
    </row>
    <row r="264">
      <c r="A264" s="16">
        <f>IF(C264="","",TEXT(C264,"mmmm"))</f>
        <v/>
      </c>
      <c r="B264" s="16">
        <f>IF(C264="","","Semana "&amp;ROUNDUP(DAY(C264)/7,0))</f>
        <v/>
      </c>
      <c r="C264" s="34" t="n"/>
      <c r="D264" s="16">
        <f>IF(C264="","",TEXT(C264,"dddd"))</f>
        <v/>
      </c>
      <c r="E264" s="16" t="n"/>
      <c r="F264" s="16">
        <f>IF(G264&lt;&gt;"",IF(LEFT(UPPER(TRIM(G264)),1)="V","Drogaria Venancio",""),IF(H264&lt;&gt;"","Cristal",""))</f>
        <v/>
      </c>
      <c r="G264" s="16" t="n"/>
      <c r="H264" s="16" t="n"/>
      <c r="I264" s="16" t="n"/>
      <c r="J264" s="16" t="n"/>
      <c r="K264" s="16" t="n"/>
      <c r="L264" s="16" t="n"/>
      <c r="M264" s="35">
        <f>IF(I264="","",HYPERLINK("https://www.google.com/maps/search/?api=1&amp;query="&amp;SUBSTITUTE(I264&amp;", "&amp;J264&amp;", Rio de Janeiro"," ","+"),"Abrir no Maps"))</f>
        <v/>
      </c>
    </row>
    <row r="265">
      <c r="A265" s="20">
        <f>IF(C265="","",TEXT(C265,"mmmm"))</f>
        <v/>
      </c>
      <c r="B265" s="20">
        <f>IF(C265="","","Semana "&amp;ROUNDUP(DAY(C265)/7,0))</f>
        <v/>
      </c>
      <c r="C265" s="36" t="n"/>
      <c r="D265" s="20">
        <f>IF(C265="","",TEXT(C265,"dddd"))</f>
        <v/>
      </c>
      <c r="E265" s="20" t="n"/>
      <c r="F265" s="20">
        <f>IF(G265&lt;&gt;"",IF(LEFT(UPPER(TRIM(G265)),1)="V","Drogaria Venancio",""),IF(H265&lt;&gt;"","Cristal",""))</f>
        <v/>
      </c>
      <c r="G265" s="20" t="n"/>
      <c r="H265" s="20" t="n"/>
      <c r="I265" s="20" t="n"/>
      <c r="J265" s="20" t="n"/>
      <c r="K265" s="20" t="n"/>
      <c r="L265" s="20" t="n"/>
      <c r="M265" s="37">
        <f>IF(I265="","",HYPERLINK("https://www.google.com/maps/search/?api=1&amp;query="&amp;SUBSTITUTE(I265&amp;", "&amp;J265&amp;", Rio de Janeiro"," ","+"),"Abrir no Maps"))</f>
        <v/>
      </c>
    </row>
    <row r="266">
      <c r="A266" s="16">
        <f>IF(C266="","",TEXT(C266,"mmmm"))</f>
        <v/>
      </c>
      <c r="B266" s="16">
        <f>IF(C266="","","Semana "&amp;ROUNDUP(DAY(C266)/7,0))</f>
        <v/>
      </c>
      <c r="C266" s="34" t="n"/>
      <c r="D266" s="16">
        <f>IF(C266="","",TEXT(C266,"dddd"))</f>
        <v/>
      </c>
      <c r="E266" s="16" t="n"/>
      <c r="F266" s="16">
        <f>IF(G266&lt;&gt;"",IF(LEFT(UPPER(TRIM(G266)),1)="V","Drogaria Venancio",""),IF(H266&lt;&gt;"","Cristal",""))</f>
        <v/>
      </c>
      <c r="G266" s="16" t="n"/>
      <c r="H266" s="16" t="n"/>
      <c r="I266" s="16" t="n"/>
      <c r="J266" s="16" t="n"/>
      <c r="K266" s="16" t="n"/>
      <c r="L266" s="16" t="n"/>
      <c r="M266" s="35">
        <f>IF(I266="","",HYPERLINK("https://www.google.com/maps/search/?api=1&amp;query="&amp;SUBSTITUTE(I266&amp;", "&amp;J266&amp;", Rio de Janeiro"," ","+"),"Abrir no Maps"))</f>
        <v/>
      </c>
    </row>
    <row r="267">
      <c r="A267" s="20">
        <f>IF(C267="","",TEXT(C267,"mmmm"))</f>
        <v/>
      </c>
      <c r="B267" s="20">
        <f>IF(C267="","","Semana "&amp;ROUNDUP(DAY(C267)/7,0))</f>
        <v/>
      </c>
      <c r="C267" s="36" t="n"/>
      <c r="D267" s="20">
        <f>IF(C267="","",TEXT(C267,"dddd"))</f>
        <v/>
      </c>
      <c r="E267" s="20" t="n"/>
      <c r="F267" s="20">
        <f>IF(G267&lt;&gt;"",IF(LEFT(UPPER(TRIM(G267)),1)="V","Drogaria Venancio",""),IF(H267&lt;&gt;"","Cristal",""))</f>
        <v/>
      </c>
      <c r="G267" s="20" t="n"/>
      <c r="H267" s="20" t="n"/>
      <c r="I267" s="20" t="n"/>
      <c r="J267" s="20" t="n"/>
      <c r="K267" s="20" t="n"/>
      <c r="L267" s="20" t="n"/>
      <c r="M267" s="37">
        <f>IF(I267="","",HYPERLINK("https://www.google.com/maps/search/?api=1&amp;query="&amp;SUBSTITUTE(I267&amp;", "&amp;J267&amp;", Rio de Janeiro"," ","+"),"Abrir no Maps"))</f>
        <v/>
      </c>
    </row>
    <row r="268">
      <c r="A268" s="16">
        <f>IF(C268="","",TEXT(C268,"mmmm"))</f>
        <v/>
      </c>
      <c r="B268" s="16">
        <f>IF(C268="","","Semana "&amp;ROUNDUP(DAY(C268)/7,0))</f>
        <v/>
      </c>
      <c r="C268" s="34" t="n"/>
      <c r="D268" s="16">
        <f>IF(C268="","",TEXT(C268,"dddd"))</f>
        <v/>
      </c>
      <c r="E268" s="16" t="n"/>
      <c r="F268" s="16">
        <f>IF(G268&lt;&gt;"",IF(LEFT(UPPER(TRIM(G268)),1)="V","Drogaria Venancio",""),IF(H268&lt;&gt;"","Cristal",""))</f>
        <v/>
      </c>
      <c r="G268" s="16" t="n"/>
      <c r="H268" s="16" t="n"/>
      <c r="I268" s="16" t="n"/>
      <c r="J268" s="16" t="n"/>
      <c r="K268" s="16" t="n"/>
      <c r="L268" s="16" t="n"/>
      <c r="M268" s="35">
        <f>IF(I268="","",HYPERLINK("https://www.google.com/maps/search/?api=1&amp;query="&amp;SUBSTITUTE(I268&amp;", "&amp;J268&amp;", Rio de Janeiro"," ","+"),"Abrir no Maps"))</f>
        <v/>
      </c>
    </row>
    <row r="269">
      <c r="A269" s="20">
        <f>IF(C269="","",TEXT(C269,"mmmm"))</f>
        <v/>
      </c>
      <c r="B269" s="20">
        <f>IF(C269="","","Semana "&amp;ROUNDUP(DAY(C269)/7,0))</f>
        <v/>
      </c>
      <c r="C269" s="36" t="n"/>
      <c r="D269" s="20">
        <f>IF(C269="","",TEXT(C269,"dddd"))</f>
        <v/>
      </c>
      <c r="E269" s="20" t="n"/>
      <c r="F269" s="20">
        <f>IF(G269&lt;&gt;"",IF(LEFT(UPPER(TRIM(G269)),1)="V","Drogaria Venancio",""),IF(H269&lt;&gt;"","Cristal",""))</f>
        <v/>
      </c>
      <c r="G269" s="20" t="n"/>
      <c r="H269" s="20" t="n"/>
      <c r="I269" s="20" t="n"/>
      <c r="J269" s="20" t="n"/>
      <c r="K269" s="20" t="n"/>
      <c r="L269" s="20" t="n"/>
      <c r="M269" s="37">
        <f>IF(I269="","",HYPERLINK("https://www.google.com/maps/search/?api=1&amp;query="&amp;SUBSTITUTE(I269&amp;", "&amp;J269&amp;", Rio de Janeiro"," ","+"),"Abrir no Maps"))</f>
        <v/>
      </c>
    </row>
    <row r="270">
      <c r="A270" s="16">
        <f>IF(C270="","",TEXT(C270,"mmmm"))</f>
        <v/>
      </c>
      <c r="B270" s="16">
        <f>IF(C270="","","Semana "&amp;ROUNDUP(DAY(C270)/7,0))</f>
        <v/>
      </c>
      <c r="C270" s="34" t="n"/>
      <c r="D270" s="16">
        <f>IF(C270="","",TEXT(C270,"dddd"))</f>
        <v/>
      </c>
      <c r="E270" s="16" t="n"/>
      <c r="F270" s="16">
        <f>IF(G270&lt;&gt;"",IF(LEFT(UPPER(TRIM(G270)),1)="V","Drogaria Venancio",""),IF(H270&lt;&gt;"","Cristal",""))</f>
        <v/>
      </c>
      <c r="G270" s="16" t="n"/>
      <c r="H270" s="16" t="n"/>
      <c r="I270" s="16" t="n"/>
      <c r="J270" s="16" t="n"/>
      <c r="K270" s="16" t="n"/>
      <c r="L270" s="16" t="n"/>
      <c r="M270" s="35">
        <f>IF(I270="","",HYPERLINK("https://www.google.com/maps/search/?api=1&amp;query="&amp;SUBSTITUTE(I270&amp;", "&amp;J270&amp;", Rio de Janeiro"," ","+"),"Abrir no Maps"))</f>
        <v/>
      </c>
    </row>
    <row r="271">
      <c r="A271" s="20">
        <f>IF(C271="","",TEXT(C271,"mmmm"))</f>
        <v/>
      </c>
      <c r="B271" s="20">
        <f>IF(C271="","","Semana "&amp;ROUNDUP(DAY(C271)/7,0))</f>
        <v/>
      </c>
      <c r="C271" s="36" t="n"/>
      <c r="D271" s="20">
        <f>IF(C271="","",TEXT(C271,"dddd"))</f>
        <v/>
      </c>
      <c r="E271" s="20" t="n"/>
      <c r="F271" s="20">
        <f>IF(G271&lt;&gt;"",IF(LEFT(UPPER(TRIM(G271)),1)="V","Drogaria Venancio",""),IF(H271&lt;&gt;"","Cristal",""))</f>
        <v/>
      </c>
      <c r="G271" s="20" t="n"/>
      <c r="H271" s="20" t="n"/>
      <c r="I271" s="20" t="n"/>
      <c r="J271" s="20" t="n"/>
      <c r="K271" s="20" t="n"/>
      <c r="L271" s="20" t="n"/>
      <c r="M271" s="37">
        <f>IF(I271="","",HYPERLINK("https://www.google.com/maps/search/?api=1&amp;query="&amp;SUBSTITUTE(I271&amp;", "&amp;J271&amp;", Rio de Janeiro"," ","+"),"Abrir no Maps"))</f>
        <v/>
      </c>
    </row>
    <row r="272">
      <c r="A272" s="16">
        <f>IF(C272="","",TEXT(C272,"mmmm"))</f>
        <v/>
      </c>
      <c r="B272" s="16">
        <f>IF(C272="","","Semana "&amp;ROUNDUP(DAY(C272)/7,0))</f>
        <v/>
      </c>
      <c r="C272" s="34" t="n"/>
      <c r="D272" s="16">
        <f>IF(C272="","",TEXT(C272,"dddd"))</f>
        <v/>
      </c>
      <c r="E272" s="16" t="n"/>
      <c r="F272" s="16">
        <f>IF(G272&lt;&gt;"",IF(LEFT(UPPER(TRIM(G272)),1)="V","Drogaria Venancio",""),IF(H272&lt;&gt;"","Cristal",""))</f>
        <v/>
      </c>
      <c r="G272" s="16" t="n"/>
      <c r="H272" s="16" t="n"/>
      <c r="I272" s="16" t="n"/>
      <c r="J272" s="16" t="n"/>
      <c r="K272" s="16" t="n"/>
      <c r="L272" s="16" t="n"/>
      <c r="M272" s="35">
        <f>IF(I272="","",HYPERLINK("https://www.google.com/maps/search/?api=1&amp;query="&amp;SUBSTITUTE(I272&amp;", "&amp;J272&amp;", Rio de Janeiro"," ","+"),"Abrir no Maps"))</f>
        <v/>
      </c>
    </row>
    <row r="273">
      <c r="A273" s="20">
        <f>IF(C273="","",TEXT(C273,"mmmm"))</f>
        <v/>
      </c>
      <c r="B273" s="20">
        <f>IF(C273="","","Semana "&amp;ROUNDUP(DAY(C273)/7,0))</f>
        <v/>
      </c>
      <c r="C273" s="36" t="n"/>
      <c r="D273" s="20">
        <f>IF(C273="","",TEXT(C273,"dddd"))</f>
        <v/>
      </c>
      <c r="E273" s="20" t="n"/>
      <c r="F273" s="20">
        <f>IF(G273&lt;&gt;"",IF(LEFT(UPPER(TRIM(G273)),1)="V","Drogaria Venancio",""),IF(H273&lt;&gt;"","Cristal",""))</f>
        <v/>
      </c>
      <c r="G273" s="20" t="n"/>
      <c r="H273" s="20" t="n"/>
      <c r="I273" s="20" t="n"/>
      <c r="J273" s="20" t="n"/>
      <c r="K273" s="20" t="n"/>
      <c r="L273" s="20" t="n"/>
      <c r="M273" s="37">
        <f>IF(I273="","",HYPERLINK("https://www.google.com/maps/search/?api=1&amp;query="&amp;SUBSTITUTE(I273&amp;", "&amp;J273&amp;", Rio de Janeiro"," ","+"),"Abrir no Maps"))</f>
        <v/>
      </c>
    </row>
    <row r="274">
      <c r="A274" s="16">
        <f>IF(C274="","",TEXT(C274,"mmmm"))</f>
        <v/>
      </c>
      <c r="B274" s="16">
        <f>IF(C274="","","Semana "&amp;ROUNDUP(DAY(C274)/7,0))</f>
        <v/>
      </c>
      <c r="C274" s="34" t="n"/>
      <c r="D274" s="16">
        <f>IF(C274="","",TEXT(C274,"dddd"))</f>
        <v/>
      </c>
      <c r="E274" s="16" t="n"/>
      <c r="F274" s="16">
        <f>IF(G274&lt;&gt;"",IF(LEFT(UPPER(TRIM(G274)),1)="V","Drogaria Venancio",""),IF(H274&lt;&gt;"","Cristal",""))</f>
        <v/>
      </c>
      <c r="G274" s="16" t="n"/>
      <c r="H274" s="16" t="n"/>
      <c r="I274" s="16" t="n"/>
      <c r="J274" s="16" t="n"/>
      <c r="K274" s="16" t="n"/>
      <c r="L274" s="16" t="n"/>
      <c r="M274" s="35">
        <f>IF(I274="","",HYPERLINK("https://www.google.com/maps/search/?api=1&amp;query="&amp;SUBSTITUTE(I274&amp;", "&amp;J274&amp;", Rio de Janeiro"," ","+"),"Abrir no Maps"))</f>
        <v/>
      </c>
    </row>
    <row r="275">
      <c r="A275" s="20">
        <f>IF(C275="","",TEXT(C275,"mmmm"))</f>
        <v/>
      </c>
      <c r="B275" s="20">
        <f>IF(C275="","","Semana "&amp;ROUNDUP(DAY(C275)/7,0))</f>
        <v/>
      </c>
      <c r="C275" s="36" t="n"/>
      <c r="D275" s="20">
        <f>IF(C275="","",TEXT(C275,"dddd"))</f>
        <v/>
      </c>
      <c r="E275" s="20" t="n"/>
      <c r="F275" s="20">
        <f>IF(G275&lt;&gt;"",IF(LEFT(UPPER(TRIM(G275)),1)="V","Drogaria Venancio",""),IF(H275&lt;&gt;"","Cristal",""))</f>
        <v/>
      </c>
      <c r="G275" s="20" t="n"/>
      <c r="H275" s="20" t="n"/>
      <c r="I275" s="20" t="n"/>
      <c r="J275" s="20" t="n"/>
      <c r="K275" s="20" t="n"/>
      <c r="L275" s="20" t="n"/>
      <c r="M275" s="37">
        <f>IF(I275="","",HYPERLINK("https://www.google.com/maps/search/?api=1&amp;query="&amp;SUBSTITUTE(I275&amp;", "&amp;J275&amp;", Rio de Janeiro"," ","+"),"Abrir no Maps"))</f>
        <v/>
      </c>
    </row>
    <row r="276">
      <c r="A276" s="16">
        <f>IF(C276="","",TEXT(C276,"mmmm"))</f>
        <v/>
      </c>
      <c r="B276" s="16">
        <f>IF(C276="","","Semana "&amp;ROUNDUP(DAY(C276)/7,0))</f>
        <v/>
      </c>
      <c r="C276" s="34" t="n"/>
      <c r="D276" s="16">
        <f>IF(C276="","",TEXT(C276,"dddd"))</f>
        <v/>
      </c>
      <c r="E276" s="16" t="n"/>
      <c r="F276" s="16">
        <f>IF(G276&lt;&gt;"",IF(LEFT(UPPER(TRIM(G276)),1)="V","Drogaria Venancio",""),IF(H276&lt;&gt;"","Cristal",""))</f>
        <v/>
      </c>
      <c r="G276" s="16" t="n"/>
      <c r="H276" s="16" t="n"/>
      <c r="I276" s="16" t="n"/>
      <c r="J276" s="16" t="n"/>
      <c r="K276" s="16" t="n"/>
      <c r="L276" s="16" t="n"/>
      <c r="M276" s="35">
        <f>IF(I276="","",HYPERLINK("https://www.google.com/maps/search/?api=1&amp;query="&amp;SUBSTITUTE(I276&amp;", "&amp;J276&amp;", Rio de Janeiro"," ","+"),"Abrir no Maps"))</f>
        <v/>
      </c>
    </row>
    <row r="277">
      <c r="A277" s="20">
        <f>IF(C277="","",TEXT(C277,"mmmm"))</f>
        <v/>
      </c>
      <c r="B277" s="20">
        <f>IF(C277="","","Semana "&amp;ROUNDUP(DAY(C277)/7,0))</f>
        <v/>
      </c>
      <c r="C277" s="36" t="n"/>
      <c r="D277" s="20">
        <f>IF(C277="","",TEXT(C277,"dddd"))</f>
        <v/>
      </c>
      <c r="E277" s="20" t="n"/>
      <c r="F277" s="20">
        <f>IF(G277&lt;&gt;"",IF(LEFT(UPPER(TRIM(G277)),1)="V","Drogaria Venancio",""),IF(H277&lt;&gt;"","Cristal",""))</f>
        <v/>
      </c>
      <c r="G277" s="20" t="n"/>
      <c r="H277" s="20" t="n"/>
      <c r="I277" s="20" t="n"/>
      <c r="J277" s="20" t="n"/>
      <c r="K277" s="20" t="n"/>
      <c r="L277" s="20" t="n"/>
      <c r="M277" s="37">
        <f>IF(I277="","",HYPERLINK("https://www.google.com/maps/search/?api=1&amp;query="&amp;SUBSTITUTE(I277&amp;", "&amp;J277&amp;", Rio de Janeiro"," ","+"),"Abrir no Maps"))</f>
        <v/>
      </c>
    </row>
    <row r="278">
      <c r="A278" s="16">
        <f>IF(C278="","",TEXT(C278,"mmmm"))</f>
        <v/>
      </c>
      <c r="B278" s="16">
        <f>IF(C278="","","Semana "&amp;ROUNDUP(DAY(C278)/7,0))</f>
        <v/>
      </c>
      <c r="C278" s="34" t="n"/>
      <c r="D278" s="16">
        <f>IF(C278="","",TEXT(C278,"dddd"))</f>
        <v/>
      </c>
      <c r="E278" s="16" t="n"/>
      <c r="F278" s="16">
        <f>IF(G278&lt;&gt;"",IF(LEFT(UPPER(TRIM(G278)),1)="V","Drogaria Venancio",""),IF(H278&lt;&gt;"","Cristal",""))</f>
        <v/>
      </c>
      <c r="G278" s="16" t="n"/>
      <c r="H278" s="16" t="n"/>
      <c r="I278" s="16" t="n"/>
      <c r="J278" s="16" t="n"/>
      <c r="K278" s="16" t="n"/>
      <c r="L278" s="16" t="n"/>
      <c r="M278" s="35">
        <f>IF(I278="","",HYPERLINK("https://www.google.com/maps/search/?api=1&amp;query="&amp;SUBSTITUTE(I278&amp;", "&amp;J278&amp;", Rio de Janeiro"," ","+"),"Abrir no Maps"))</f>
        <v/>
      </c>
    </row>
    <row r="279">
      <c r="A279" s="20">
        <f>IF(C279="","",TEXT(C279,"mmmm"))</f>
        <v/>
      </c>
      <c r="B279" s="20">
        <f>IF(C279="","","Semana "&amp;ROUNDUP(DAY(C279)/7,0))</f>
        <v/>
      </c>
      <c r="C279" s="36" t="n"/>
      <c r="D279" s="20">
        <f>IF(C279="","",TEXT(C279,"dddd"))</f>
        <v/>
      </c>
      <c r="E279" s="20" t="n"/>
      <c r="F279" s="20">
        <f>IF(G279&lt;&gt;"",IF(LEFT(UPPER(TRIM(G279)),1)="V","Drogaria Venancio",""),IF(H279&lt;&gt;"","Cristal",""))</f>
        <v/>
      </c>
      <c r="G279" s="20" t="n"/>
      <c r="H279" s="20" t="n"/>
      <c r="I279" s="20" t="n"/>
      <c r="J279" s="20" t="n"/>
      <c r="K279" s="20" t="n"/>
      <c r="L279" s="20" t="n"/>
      <c r="M279" s="37">
        <f>IF(I279="","",HYPERLINK("https://www.google.com/maps/search/?api=1&amp;query="&amp;SUBSTITUTE(I279&amp;", "&amp;J279&amp;", Rio de Janeiro"," ","+"),"Abrir no Maps"))</f>
        <v/>
      </c>
    </row>
    <row r="280">
      <c r="A280" s="16">
        <f>IF(C280="","",TEXT(C280,"mmmm"))</f>
        <v/>
      </c>
      <c r="B280" s="16">
        <f>IF(C280="","","Semana "&amp;ROUNDUP(DAY(C280)/7,0))</f>
        <v/>
      </c>
      <c r="C280" s="34" t="n"/>
      <c r="D280" s="16">
        <f>IF(C280="","",TEXT(C280,"dddd"))</f>
        <v/>
      </c>
      <c r="E280" s="16" t="n"/>
      <c r="F280" s="16">
        <f>IF(G280&lt;&gt;"",IF(LEFT(UPPER(TRIM(G280)),1)="V","Drogaria Venancio",""),IF(H280&lt;&gt;"","Cristal",""))</f>
        <v/>
      </c>
      <c r="G280" s="16" t="n"/>
      <c r="H280" s="16" t="n"/>
      <c r="I280" s="16" t="n"/>
      <c r="J280" s="16" t="n"/>
      <c r="K280" s="16" t="n"/>
      <c r="L280" s="16" t="n"/>
      <c r="M280" s="35">
        <f>IF(I280="","",HYPERLINK("https://www.google.com/maps/search/?api=1&amp;query="&amp;SUBSTITUTE(I280&amp;", "&amp;J280&amp;", Rio de Janeiro"," ","+"),"Abrir no Maps"))</f>
        <v/>
      </c>
    </row>
    <row r="281">
      <c r="A281" s="20">
        <f>IF(C281="","",TEXT(C281,"mmmm"))</f>
        <v/>
      </c>
      <c r="B281" s="20">
        <f>IF(C281="","","Semana "&amp;ROUNDUP(DAY(C281)/7,0))</f>
        <v/>
      </c>
      <c r="C281" s="36" t="n"/>
      <c r="D281" s="20">
        <f>IF(C281="","",TEXT(C281,"dddd"))</f>
        <v/>
      </c>
      <c r="E281" s="20" t="n"/>
      <c r="F281" s="20">
        <f>IF(G281&lt;&gt;"",IF(LEFT(UPPER(TRIM(G281)),1)="V","Drogaria Venancio",""),IF(H281&lt;&gt;"","Cristal",""))</f>
        <v/>
      </c>
      <c r="G281" s="20" t="n"/>
      <c r="H281" s="20" t="n"/>
      <c r="I281" s="20" t="n"/>
      <c r="J281" s="20" t="n"/>
      <c r="K281" s="20" t="n"/>
      <c r="L281" s="20" t="n"/>
      <c r="M281" s="37">
        <f>IF(I281="","",HYPERLINK("https://www.google.com/maps/search/?api=1&amp;query="&amp;SUBSTITUTE(I281&amp;", "&amp;J281&amp;", Rio de Janeiro"," ","+"),"Abrir no Maps"))</f>
        <v/>
      </c>
    </row>
    <row r="282">
      <c r="A282" s="16">
        <f>IF(C282="","",TEXT(C282,"mmmm"))</f>
        <v/>
      </c>
      <c r="B282" s="16">
        <f>IF(C282="","","Semana "&amp;ROUNDUP(DAY(C282)/7,0))</f>
        <v/>
      </c>
      <c r="C282" s="34" t="n"/>
      <c r="D282" s="16">
        <f>IF(C282="","",TEXT(C282,"dddd"))</f>
        <v/>
      </c>
      <c r="E282" s="16" t="n"/>
      <c r="F282" s="16">
        <f>IF(G282&lt;&gt;"",IF(LEFT(UPPER(TRIM(G282)),1)="V","Drogaria Venancio",""),IF(H282&lt;&gt;"","Cristal",""))</f>
        <v/>
      </c>
      <c r="G282" s="16" t="n"/>
      <c r="H282" s="16" t="n"/>
      <c r="I282" s="16" t="n"/>
      <c r="J282" s="16" t="n"/>
      <c r="K282" s="16" t="n"/>
      <c r="L282" s="16" t="n"/>
      <c r="M282" s="35">
        <f>IF(I282="","",HYPERLINK("https://www.google.com/maps/search/?api=1&amp;query="&amp;SUBSTITUTE(I282&amp;", "&amp;J282&amp;", Rio de Janeiro"," ","+"),"Abrir no Maps"))</f>
        <v/>
      </c>
    </row>
    <row r="283">
      <c r="A283" s="20">
        <f>IF(C283="","",TEXT(C283,"mmmm"))</f>
        <v/>
      </c>
      <c r="B283" s="20">
        <f>IF(C283="","","Semana "&amp;ROUNDUP(DAY(C283)/7,0))</f>
        <v/>
      </c>
      <c r="C283" s="36" t="n"/>
      <c r="D283" s="20">
        <f>IF(C283="","",TEXT(C283,"dddd"))</f>
        <v/>
      </c>
      <c r="E283" s="20" t="n"/>
      <c r="F283" s="20">
        <f>IF(G283&lt;&gt;"",IF(LEFT(UPPER(TRIM(G283)),1)="V","Drogaria Venancio",""),IF(H283&lt;&gt;"","Cristal",""))</f>
        <v/>
      </c>
      <c r="G283" s="20" t="n"/>
      <c r="H283" s="20" t="n"/>
      <c r="I283" s="20" t="n"/>
      <c r="J283" s="20" t="n"/>
      <c r="K283" s="20" t="n"/>
      <c r="L283" s="20" t="n"/>
      <c r="M283" s="37">
        <f>IF(I283="","",HYPERLINK("https://www.google.com/maps/search/?api=1&amp;query="&amp;SUBSTITUTE(I283&amp;", "&amp;J283&amp;", Rio de Janeiro"," ","+"),"Abrir no Maps"))</f>
        <v/>
      </c>
    </row>
    <row r="284">
      <c r="A284" s="16">
        <f>IF(C284="","",TEXT(C284,"mmmm"))</f>
        <v/>
      </c>
      <c r="B284" s="16">
        <f>IF(C284="","","Semana "&amp;ROUNDUP(DAY(C284)/7,0))</f>
        <v/>
      </c>
      <c r="C284" s="34" t="n"/>
      <c r="D284" s="16">
        <f>IF(C284="","",TEXT(C284,"dddd"))</f>
        <v/>
      </c>
      <c r="E284" s="16" t="n"/>
      <c r="F284" s="16">
        <f>IF(G284&lt;&gt;"",IF(LEFT(UPPER(TRIM(G284)),1)="V","Drogaria Venancio",""),IF(H284&lt;&gt;"","Cristal",""))</f>
        <v/>
      </c>
      <c r="G284" s="16" t="n"/>
      <c r="H284" s="16" t="n"/>
      <c r="I284" s="16" t="n"/>
      <c r="J284" s="16" t="n"/>
      <c r="K284" s="16" t="n"/>
      <c r="L284" s="16" t="n"/>
      <c r="M284" s="35">
        <f>IF(I284="","",HYPERLINK("https://www.google.com/maps/search/?api=1&amp;query="&amp;SUBSTITUTE(I284&amp;", "&amp;J284&amp;", Rio de Janeiro"," ","+"),"Abrir no Maps"))</f>
        <v/>
      </c>
    </row>
    <row r="285">
      <c r="A285" s="20">
        <f>IF(C285="","",TEXT(C285,"mmmm"))</f>
        <v/>
      </c>
      <c r="B285" s="20">
        <f>IF(C285="","","Semana "&amp;ROUNDUP(DAY(C285)/7,0))</f>
        <v/>
      </c>
      <c r="C285" s="36" t="n"/>
      <c r="D285" s="20">
        <f>IF(C285="","",TEXT(C285,"dddd"))</f>
        <v/>
      </c>
      <c r="E285" s="20" t="n"/>
      <c r="F285" s="20">
        <f>IF(G285&lt;&gt;"",IF(LEFT(UPPER(TRIM(G285)),1)="V","Drogaria Venancio",""),IF(H285&lt;&gt;"","Cristal",""))</f>
        <v/>
      </c>
      <c r="G285" s="20" t="n"/>
      <c r="H285" s="20" t="n"/>
      <c r="I285" s="20" t="n"/>
      <c r="J285" s="20" t="n"/>
      <c r="K285" s="20" t="n"/>
      <c r="L285" s="20" t="n"/>
      <c r="M285" s="37">
        <f>IF(I285="","",HYPERLINK("https://www.google.com/maps/search/?api=1&amp;query="&amp;SUBSTITUTE(I285&amp;", "&amp;J285&amp;", Rio de Janeiro"," ","+"),"Abrir no Maps"))</f>
        <v/>
      </c>
    </row>
    <row r="286">
      <c r="A286" s="16">
        <f>IF(C286="","",TEXT(C286,"mmmm"))</f>
        <v/>
      </c>
      <c r="B286" s="16">
        <f>IF(C286="","","Semana "&amp;ROUNDUP(DAY(C286)/7,0))</f>
        <v/>
      </c>
      <c r="C286" s="34" t="n"/>
      <c r="D286" s="16">
        <f>IF(C286="","",TEXT(C286,"dddd"))</f>
        <v/>
      </c>
      <c r="E286" s="16" t="n"/>
      <c r="F286" s="16">
        <f>IF(G286&lt;&gt;"",IF(LEFT(UPPER(TRIM(G286)),1)="V","Drogaria Venancio",""),IF(H286&lt;&gt;"","Cristal",""))</f>
        <v/>
      </c>
      <c r="G286" s="16" t="n"/>
      <c r="H286" s="16" t="n"/>
      <c r="I286" s="16" t="n"/>
      <c r="J286" s="16" t="n"/>
      <c r="K286" s="16" t="n"/>
      <c r="L286" s="16" t="n"/>
      <c r="M286" s="35">
        <f>IF(I286="","",HYPERLINK("https://www.google.com/maps/search/?api=1&amp;query="&amp;SUBSTITUTE(I286&amp;", "&amp;J286&amp;", Rio de Janeiro"," ","+"),"Abrir no Maps"))</f>
        <v/>
      </c>
    </row>
    <row r="287">
      <c r="A287" s="20">
        <f>IF(C287="","",TEXT(C287,"mmmm"))</f>
        <v/>
      </c>
      <c r="B287" s="20">
        <f>IF(C287="","","Semana "&amp;ROUNDUP(DAY(C287)/7,0))</f>
        <v/>
      </c>
      <c r="C287" s="36" t="n"/>
      <c r="D287" s="20">
        <f>IF(C287="","",TEXT(C287,"dddd"))</f>
        <v/>
      </c>
      <c r="E287" s="20" t="n"/>
      <c r="F287" s="20">
        <f>IF(G287&lt;&gt;"",IF(LEFT(UPPER(TRIM(G287)),1)="V","Drogaria Venancio",""),IF(H287&lt;&gt;"","Cristal",""))</f>
        <v/>
      </c>
      <c r="G287" s="20" t="n"/>
      <c r="H287" s="20" t="n"/>
      <c r="I287" s="20" t="n"/>
      <c r="J287" s="20" t="n"/>
      <c r="K287" s="20" t="n"/>
      <c r="L287" s="20" t="n"/>
      <c r="M287" s="37">
        <f>IF(I287="","",HYPERLINK("https://www.google.com/maps/search/?api=1&amp;query="&amp;SUBSTITUTE(I287&amp;", "&amp;J287&amp;", Rio de Janeiro"," ","+"),"Abrir no Maps"))</f>
        <v/>
      </c>
    </row>
    <row r="288">
      <c r="A288" s="16">
        <f>IF(C288="","",TEXT(C288,"mmmm"))</f>
        <v/>
      </c>
      <c r="B288" s="16">
        <f>IF(C288="","","Semana "&amp;ROUNDUP(DAY(C288)/7,0))</f>
        <v/>
      </c>
      <c r="C288" s="34" t="n"/>
      <c r="D288" s="16">
        <f>IF(C288="","",TEXT(C288,"dddd"))</f>
        <v/>
      </c>
      <c r="E288" s="16" t="n"/>
      <c r="F288" s="16">
        <f>IF(G288&lt;&gt;"",IF(LEFT(UPPER(TRIM(G288)),1)="V","Drogaria Venancio",""),IF(H288&lt;&gt;"","Cristal",""))</f>
        <v/>
      </c>
      <c r="G288" s="16" t="n"/>
      <c r="H288" s="16" t="n"/>
      <c r="I288" s="16" t="n"/>
      <c r="J288" s="16" t="n"/>
      <c r="K288" s="16" t="n"/>
      <c r="L288" s="16" t="n"/>
      <c r="M288" s="35">
        <f>IF(I288="","",HYPERLINK("https://www.google.com/maps/search/?api=1&amp;query="&amp;SUBSTITUTE(I288&amp;", "&amp;J288&amp;", Rio de Janeiro"," ","+"),"Abrir no Maps"))</f>
        <v/>
      </c>
    </row>
    <row r="289">
      <c r="A289" s="20">
        <f>IF(C289="","",TEXT(C289,"mmmm"))</f>
        <v/>
      </c>
      <c r="B289" s="20">
        <f>IF(C289="","","Semana "&amp;ROUNDUP(DAY(C289)/7,0))</f>
        <v/>
      </c>
      <c r="C289" s="36" t="n"/>
      <c r="D289" s="20">
        <f>IF(C289="","",TEXT(C289,"dddd"))</f>
        <v/>
      </c>
      <c r="E289" s="20" t="n"/>
      <c r="F289" s="20">
        <f>IF(G289&lt;&gt;"",IF(LEFT(UPPER(TRIM(G289)),1)="V","Drogaria Venancio",""),IF(H289&lt;&gt;"","Cristal",""))</f>
        <v/>
      </c>
      <c r="G289" s="20" t="n"/>
      <c r="H289" s="20" t="n"/>
      <c r="I289" s="20" t="n"/>
      <c r="J289" s="20" t="n"/>
      <c r="K289" s="20" t="n"/>
      <c r="L289" s="20" t="n"/>
      <c r="M289" s="37">
        <f>IF(I289="","",HYPERLINK("https://www.google.com/maps/search/?api=1&amp;query="&amp;SUBSTITUTE(I289&amp;", "&amp;J289&amp;", Rio de Janeiro"," ","+"),"Abrir no Maps"))</f>
        <v/>
      </c>
    </row>
    <row r="290">
      <c r="A290" s="16">
        <f>IF(C290="","",TEXT(C290,"mmmm"))</f>
        <v/>
      </c>
      <c r="B290" s="16">
        <f>IF(C290="","","Semana "&amp;ROUNDUP(DAY(C290)/7,0))</f>
        <v/>
      </c>
      <c r="C290" s="34" t="n"/>
      <c r="D290" s="16">
        <f>IF(C290="","",TEXT(C290,"dddd"))</f>
        <v/>
      </c>
      <c r="E290" s="16" t="n"/>
      <c r="F290" s="16">
        <f>IF(G290&lt;&gt;"",IF(LEFT(UPPER(TRIM(G290)),1)="V","Drogaria Venancio",""),IF(H290&lt;&gt;"","Cristal",""))</f>
        <v/>
      </c>
      <c r="G290" s="16" t="n"/>
      <c r="H290" s="16" t="n"/>
      <c r="I290" s="16" t="n"/>
      <c r="J290" s="16" t="n"/>
      <c r="K290" s="16" t="n"/>
      <c r="L290" s="16" t="n"/>
      <c r="M290" s="35">
        <f>IF(I290="","",HYPERLINK("https://www.google.com/maps/search/?api=1&amp;query="&amp;SUBSTITUTE(I290&amp;", "&amp;J290&amp;", Rio de Janeiro"," ","+"),"Abrir no Maps"))</f>
        <v/>
      </c>
    </row>
    <row r="291">
      <c r="A291" s="20">
        <f>IF(C291="","",TEXT(C291,"mmmm"))</f>
        <v/>
      </c>
      <c r="B291" s="20">
        <f>IF(C291="","","Semana "&amp;ROUNDUP(DAY(C291)/7,0))</f>
        <v/>
      </c>
      <c r="C291" s="36" t="n"/>
      <c r="D291" s="20">
        <f>IF(C291="","",TEXT(C291,"dddd"))</f>
        <v/>
      </c>
      <c r="E291" s="20" t="n"/>
      <c r="F291" s="20">
        <f>IF(G291&lt;&gt;"",IF(LEFT(UPPER(TRIM(G291)),1)="V","Drogaria Venancio",""),IF(H291&lt;&gt;"","Cristal",""))</f>
        <v/>
      </c>
      <c r="G291" s="20" t="n"/>
      <c r="H291" s="20" t="n"/>
      <c r="I291" s="20" t="n"/>
      <c r="J291" s="20" t="n"/>
      <c r="K291" s="20" t="n"/>
      <c r="L291" s="20" t="n"/>
      <c r="M291" s="37">
        <f>IF(I291="","",HYPERLINK("https://www.google.com/maps/search/?api=1&amp;query="&amp;SUBSTITUTE(I291&amp;", "&amp;J291&amp;", Rio de Janeiro"," ","+"),"Abrir no Maps"))</f>
        <v/>
      </c>
    </row>
    <row r="292">
      <c r="A292" s="16">
        <f>IF(C292="","",TEXT(C292,"mmmm"))</f>
        <v/>
      </c>
      <c r="B292" s="16">
        <f>IF(C292="","","Semana "&amp;ROUNDUP(DAY(C292)/7,0))</f>
        <v/>
      </c>
      <c r="C292" s="34" t="n"/>
      <c r="D292" s="16">
        <f>IF(C292="","",TEXT(C292,"dddd"))</f>
        <v/>
      </c>
      <c r="E292" s="16" t="n"/>
      <c r="F292" s="16">
        <f>IF(G292&lt;&gt;"",IF(LEFT(UPPER(TRIM(G292)),1)="V","Drogaria Venancio",""),IF(H292&lt;&gt;"","Cristal",""))</f>
        <v/>
      </c>
      <c r="G292" s="16" t="n"/>
      <c r="H292" s="16" t="n"/>
      <c r="I292" s="16" t="n"/>
      <c r="J292" s="16" t="n"/>
      <c r="K292" s="16" t="n"/>
      <c r="L292" s="16" t="n"/>
      <c r="M292" s="35">
        <f>IF(I292="","",HYPERLINK("https://www.google.com/maps/search/?api=1&amp;query="&amp;SUBSTITUTE(I292&amp;", "&amp;J292&amp;", Rio de Janeiro"," ","+"),"Abrir no Maps"))</f>
        <v/>
      </c>
    </row>
    <row r="293">
      <c r="A293" s="20">
        <f>IF(C293="","",TEXT(C293,"mmmm"))</f>
        <v/>
      </c>
      <c r="B293" s="20">
        <f>IF(C293="","","Semana "&amp;ROUNDUP(DAY(C293)/7,0))</f>
        <v/>
      </c>
      <c r="C293" s="36" t="n"/>
      <c r="D293" s="20">
        <f>IF(C293="","",TEXT(C293,"dddd"))</f>
        <v/>
      </c>
      <c r="E293" s="20" t="n"/>
      <c r="F293" s="20">
        <f>IF(G293&lt;&gt;"",IF(LEFT(UPPER(TRIM(G293)),1)="V","Drogaria Venancio",""),IF(H293&lt;&gt;"","Cristal",""))</f>
        <v/>
      </c>
      <c r="G293" s="20" t="n"/>
      <c r="H293" s="20" t="n"/>
      <c r="I293" s="20" t="n"/>
      <c r="J293" s="20" t="n"/>
      <c r="K293" s="20" t="n"/>
      <c r="L293" s="20" t="n"/>
      <c r="M293" s="37">
        <f>IF(I293="","",HYPERLINK("https://www.google.com/maps/search/?api=1&amp;query="&amp;SUBSTITUTE(I293&amp;", "&amp;J293&amp;", Rio de Janeiro"," ","+"),"Abrir no Maps"))</f>
        <v/>
      </c>
    </row>
    <row r="294">
      <c r="A294" s="16">
        <f>IF(C294="","",TEXT(C294,"mmmm"))</f>
        <v/>
      </c>
      <c r="B294" s="16">
        <f>IF(C294="","","Semana "&amp;ROUNDUP(DAY(C294)/7,0))</f>
        <v/>
      </c>
      <c r="C294" s="34" t="n"/>
      <c r="D294" s="16">
        <f>IF(C294="","",TEXT(C294,"dddd"))</f>
        <v/>
      </c>
      <c r="E294" s="16" t="n"/>
      <c r="F294" s="16">
        <f>IF(G294&lt;&gt;"",IF(LEFT(UPPER(TRIM(G294)),1)="V","Drogaria Venancio",""),IF(H294&lt;&gt;"","Cristal",""))</f>
        <v/>
      </c>
      <c r="G294" s="16" t="n"/>
      <c r="H294" s="16" t="n"/>
      <c r="I294" s="16" t="n"/>
      <c r="J294" s="16" t="n"/>
      <c r="K294" s="16" t="n"/>
      <c r="L294" s="16" t="n"/>
      <c r="M294" s="35">
        <f>IF(I294="","",HYPERLINK("https://www.google.com/maps/search/?api=1&amp;query="&amp;SUBSTITUTE(I294&amp;", "&amp;J294&amp;", Rio de Janeiro"," ","+"),"Abrir no Maps"))</f>
        <v/>
      </c>
    </row>
    <row r="295">
      <c r="A295" s="20">
        <f>IF(C295="","",TEXT(C295,"mmmm"))</f>
        <v/>
      </c>
      <c r="B295" s="20">
        <f>IF(C295="","","Semana "&amp;ROUNDUP(DAY(C295)/7,0))</f>
        <v/>
      </c>
      <c r="C295" s="36" t="n"/>
      <c r="D295" s="20">
        <f>IF(C295="","",TEXT(C295,"dddd"))</f>
        <v/>
      </c>
      <c r="E295" s="20" t="n"/>
      <c r="F295" s="20">
        <f>IF(G295&lt;&gt;"",IF(LEFT(UPPER(TRIM(G295)),1)="V","Drogaria Venancio",""),IF(H295&lt;&gt;"","Cristal",""))</f>
        <v/>
      </c>
      <c r="G295" s="20" t="n"/>
      <c r="H295" s="20" t="n"/>
      <c r="I295" s="20" t="n"/>
      <c r="J295" s="20" t="n"/>
      <c r="K295" s="20" t="n"/>
      <c r="L295" s="20" t="n"/>
      <c r="M295" s="37">
        <f>IF(I295="","",HYPERLINK("https://www.google.com/maps/search/?api=1&amp;query="&amp;SUBSTITUTE(I295&amp;", "&amp;J295&amp;", Rio de Janeiro"," ","+"),"Abrir no Maps"))</f>
        <v/>
      </c>
    </row>
    <row r="296">
      <c r="A296" s="16">
        <f>IF(C296="","",TEXT(C296,"mmmm"))</f>
        <v/>
      </c>
      <c r="B296" s="16">
        <f>IF(C296="","","Semana "&amp;ROUNDUP(DAY(C296)/7,0))</f>
        <v/>
      </c>
      <c r="C296" s="34" t="n"/>
      <c r="D296" s="16">
        <f>IF(C296="","",TEXT(C296,"dddd"))</f>
        <v/>
      </c>
      <c r="E296" s="16" t="n"/>
      <c r="F296" s="16">
        <f>IF(G296&lt;&gt;"",IF(LEFT(UPPER(TRIM(G296)),1)="V","Drogaria Venancio",""),IF(H296&lt;&gt;"","Cristal",""))</f>
        <v/>
      </c>
      <c r="G296" s="16" t="n"/>
      <c r="H296" s="16" t="n"/>
      <c r="I296" s="16" t="n"/>
      <c r="J296" s="16" t="n"/>
      <c r="K296" s="16" t="n"/>
      <c r="L296" s="16" t="n"/>
      <c r="M296" s="35">
        <f>IF(I296="","",HYPERLINK("https://www.google.com/maps/search/?api=1&amp;query="&amp;SUBSTITUTE(I296&amp;", "&amp;J296&amp;", Rio de Janeiro"," ","+"),"Abrir no Maps"))</f>
        <v/>
      </c>
    </row>
    <row r="297">
      <c r="A297" s="20">
        <f>IF(C297="","",TEXT(C297,"mmmm"))</f>
        <v/>
      </c>
      <c r="B297" s="20">
        <f>IF(C297="","","Semana "&amp;ROUNDUP(DAY(C297)/7,0))</f>
        <v/>
      </c>
      <c r="C297" s="36" t="n"/>
      <c r="D297" s="20">
        <f>IF(C297="","",TEXT(C297,"dddd"))</f>
        <v/>
      </c>
      <c r="E297" s="20" t="n"/>
      <c r="F297" s="20">
        <f>IF(G297&lt;&gt;"",IF(LEFT(UPPER(TRIM(G297)),1)="V","Drogaria Venancio",""),IF(H297&lt;&gt;"","Cristal",""))</f>
        <v/>
      </c>
      <c r="G297" s="20" t="n"/>
      <c r="H297" s="20" t="n"/>
      <c r="I297" s="20" t="n"/>
      <c r="J297" s="20" t="n"/>
      <c r="K297" s="20" t="n"/>
      <c r="L297" s="20" t="n"/>
      <c r="M297" s="37">
        <f>IF(I297="","",HYPERLINK("https://www.google.com/maps/search/?api=1&amp;query="&amp;SUBSTITUTE(I297&amp;", "&amp;J297&amp;", Rio de Janeiro"," ","+"),"Abrir no Maps"))</f>
        <v/>
      </c>
    </row>
    <row r="298">
      <c r="A298" s="16">
        <f>IF(C298="","",TEXT(C298,"mmmm"))</f>
        <v/>
      </c>
      <c r="B298" s="16">
        <f>IF(C298="","","Semana "&amp;ROUNDUP(DAY(C298)/7,0))</f>
        <v/>
      </c>
      <c r="C298" s="34" t="n"/>
      <c r="D298" s="16">
        <f>IF(C298="","",TEXT(C298,"dddd"))</f>
        <v/>
      </c>
      <c r="E298" s="16" t="n"/>
      <c r="F298" s="16">
        <f>IF(G298&lt;&gt;"",IF(LEFT(UPPER(TRIM(G298)),1)="V","Drogaria Venancio",""),IF(H298&lt;&gt;"","Cristal",""))</f>
        <v/>
      </c>
      <c r="G298" s="16" t="n"/>
      <c r="H298" s="16" t="n"/>
      <c r="I298" s="16" t="n"/>
      <c r="J298" s="16" t="n"/>
      <c r="K298" s="16" t="n"/>
      <c r="L298" s="16" t="n"/>
      <c r="M298" s="35">
        <f>IF(I298="","",HYPERLINK("https://www.google.com/maps/search/?api=1&amp;query="&amp;SUBSTITUTE(I298&amp;", "&amp;J298&amp;", Rio de Janeiro"," ","+"),"Abrir no Maps"))</f>
        <v/>
      </c>
    </row>
    <row r="299">
      <c r="A299" s="20">
        <f>IF(C299="","",TEXT(C299,"mmmm"))</f>
        <v/>
      </c>
      <c r="B299" s="20">
        <f>IF(C299="","","Semana "&amp;ROUNDUP(DAY(C299)/7,0))</f>
        <v/>
      </c>
      <c r="C299" s="36" t="n"/>
      <c r="D299" s="20">
        <f>IF(C299="","",TEXT(C299,"dddd"))</f>
        <v/>
      </c>
      <c r="E299" s="20" t="n"/>
      <c r="F299" s="20">
        <f>IF(G299&lt;&gt;"",IF(LEFT(UPPER(TRIM(G299)),1)="V","Drogaria Venancio",""),IF(H299&lt;&gt;"","Cristal",""))</f>
        <v/>
      </c>
      <c r="G299" s="20" t="n"/>
      <c r="H299" s="20" t="n"/>
      <c r="I299" s="20" t="n"/>
      <c r="J299" s="20" t="n"/>
      <c r="K299" s="20" t="n"/>
      <c r="L299" s="20" t="n"/>
      <c r="M299" s="37">
        <f>IF(I299="","",HYPERLINK("https://www.google.com/maps/search/?api=1&amp;query="&amp;SUBSTITUTE(I299&amp;", "&amp;J299&amp;", Rio de Janeiro"," ","+"),"Abrir no Maps"))</f>
        <v/>
      </c>
    </row>
    <row r="300">
      <c r="A300" s="16">
        <f>IF(C300="","",TEXT(C300,"mmmm"))</f>
        <v/>
      </c>
      <c r="B300" s="16">
        <f>IF(C300="","","Semana "&amp;ROUNDUP(DAY(C300)/7,0))</f>
        <v/>
      </c>
      <c r="C300" s="34" t="n"/>
      <c r="D300" s="16">
        <f>IF(C300="","",TEXT(C300,"dddd"))</f>
        <v/>
      </c>
      <c r="E300" s="16" t="n"/>
      <c r="F300" s="16">
        <f>IF(G300&lt;&gt;"",IF(LEFT(UPPER(TRIM(G300)),1)="V","Drogaria Venancio",""),IF(H300&lt;&gt;"","Cristal",""))</f>
        <v/>
      </c>
      <c r="G300" s="16" t="n"/>
      <c r="H300" s="16" t="n"/>
      <c r="I300" s="16" t="n"/>
      <c r="J300" s="16" t="n"/>
      <c r="K300" s="16" t="n"/>
      <c r="L300" s="16" t="n"/>
      <c r="M300" s="35">
        <f>IF(I300="","",HYPERLINK("https://www.google.com/maps/search/?api=1&amp;query="&amp;SUBSTITUTE(I300&amp;", "&amp;J300&amp;", Rio de Janeiro"," ","+"),"Abrir no Maps"))</f>
        <v/>
      </c>
    </row>
    <row r="301">
      <c r="A301" s="20">
        <f>IF(C301="","",TEXT(C301,"mmmm"))</f>
        <v/>
      </c>
      <c r="B301" s="20">
        <f>IF(C301="","","Semana "&amp;ROUNDUP(DAY(C301)/7,0))</f>
        <v/>
      </c>
      <c r="C301" s="36" t="n"/>
      <c r="D301" s="20">
        <f>IF(C301="","",TEXT(C301,"dddd"))</f>
        <v/>
      </c>
      <c r="E301" s="20" t="n"/>
      <c r="F301" s="20">
        <f>IF(G301&lt;&gt;"",IF(LEFT(UPPER(TRIM(G301)),1)="V","Drogaria Venancio",""),IF(H301&lt;&gt;"","Cristal",""))</f>
        <v/>
      </c>
      <c r="G301" s="20" t="n"/>
      <c r="H301" s="20" t="n"/>
      <c r="I301" s="20" t="n"/>
      <c r="J301" s="20" t="n"/>
      <c r="K301" s="20" t="n"/>
      <c r="L301" s="20" t="n"/>
      <c r="M301" s="37">
        <f>IF(I301="","",HYPERLINK("https://www.google.com/maps/search/?api=1&amp;query="&amp;SUBSTITUTE(I301&amp;", "&amp;J301&amp;", Rio de Janeiro"," ","+"),"Abrir no Maps"))</f>
        <v/>
      </c>
    </row>
    <row r="302">
      <c r="A302" s="16">
        <f>IF(C302="","",TEXT(C302,"mmmm"))</f>
        <v/>
      </c>
      <c r="B302" s="16">
        <f>IF(C302="","","Semana "&amp;ROUNDUP(DAY(C302)/7,0))</f>
        <v/>
      </c>
      <c r="C302" s="34" t="n"/>
      <c r="D302" s="16">
        <f>IF(C302="","",TEXT(C302,"dddd"))</f>
        <v/>
      </c>
      <c r="E302" s="16" t="n"/>
      <c r="F302" s="16">
        <f>IF(G302&lt;&gt;"",IF(LEFT(UPPER(TRIM(G302)),1)="V","Drogaria Venancio",""),IF(H302&lt;&gt;"","Cristal",""))</f>
        <v/>
      </c>
      <c r="G302" s="16" t="n"/>
      <c r="H302" s="16" t="n"/>
      <c r="I302" s="16" t="n"/>
      <c r="J302" s="16" t="n"/>
      <c r="K302" s="16" t="n"/>
      <c r="L302" s="16" t="n"/>
      <c r="M302" s="35">
        <f>IF(I302="","",HYPERLINK("https://www.google.com/maps/search/?api=1&amp;query="&amp;SUBSTITUTE(I302&amp;", "&amp;J302&amp;", Rio de Janeiro"," ","+"),"Abrir no Maps"))</f>
        <v/>
      </c>
    </row>
    <row r="303">
      <c r="A303" s="20">
        <f>IF(C303="","",TEXT(C303,"mmmm"))</f>
        <v/>
      </c>
      <c r="B303" s="20">
        <f>IF(C303="","","Semana "&amp;ROUNDUP(DAY(C303)/7,0))</f>
        <v/>
      </c>
      <c r="C303" s="36" t="n"/>
      <c r="D303" s="20">
        <f>IF(C303="","",TEXT(C303,"dddd"))</f>
        <v/>
      </c>
      <c r="E303" s="20" t="n"/>
      <c r="F303" s="20">
        <f>IF(G303&lt;&gt;"",IF(LEFT(UPPER(TRIM(G303)),1)="V","Drogaria Venancio",""),IF(H303&lt;&gt;"","Cristal",""))</f>
        <v/>
      </c>
      <c r="G303" s="20" t="n"/>
      <c r="H303" s="20" t="n"/>
      <c r="I303" s="20" t="n"/>
      <c r="J303" s="20" t="n"/>
      <c r="K303" s="20" t="n"/>
      <c r="L303" s="20" t="n"/>
      <c r="M303" s="37">
        <f>IF(I303="","",HYPERLINK("https://www.google.com/maps/search/?api=1&amp;query="&amp;SUBSTITUTE(I303&amp;", "&amp;J303&amp;", Rio de Janeiro"," ","+"),"Abrir no Maps"))</f>
        <v/>
      </c>
    </row>
    <row r="304">
      <c r="A304" s="16">
        <f>IF(C304="","",TEXT(C304,"mmmm"))</f>
        <v/>
      </c>
      <c r="B304" s="16">
        <f>IF(C304="","","Semana "&amp;ROUNDUP(DAY(C304)/7,0))</f>
        <v/>
      </c>
      <c r="C304" s="34" t="n"/>
      <c r="D304" s="16">
        <f>IF(C304="","",TEXT(C304,"dddd"))</f>
        <v/>
      </c>
      <c r="E304" s="16" t="n"/>
      <c r="F304" s="16">
        <f>IF(G304&lt;&gt;"",IF(LEFT(UPPER(TRIM(G304)),1)="V","Drogaria Venancio",""),IF(H304&lt;&gt;"","Cristal",""))</f>
        <v/>
      </c>
      <c r="G304" s="16" t="n"/>
      <c r="H304" s="16" t="n"/>
      <c r="I304" s="16" t="n"/>
      <c r="J304" s="16" t="n"/>
      <c r="K304" s="16" t="n"/>
      <c r="L304" s="16" t="n"/>
      <c r="M304" s="35">
        <f>IF(I304="","",HYPERLINK("https://www.google.com/maps/search/?api=1&amp;query="&amp;SUBSTITUTE(I304&amp;", "&amp;J304&amp;", Rio de Janeiro"," ","+"),"Abrir no Maps"))</f>
        <v/>
      </c>
    </row>
    <row r="305">
      <c r="A305" s="20">
        <f>IF(C305="","",TEXT(C305,"mmmm"))</f>
        <v/>
      </c>
      <c r="B305" s="20">
        <f>IF(C305="","","Semana "&amp;ROUNDUP(DAY(C305)/7,0))</f>
        <v/>
      </c>
      <c r="C305" s="36" t="n"/>
      <c r="D305" s="20">
        <f>IF(C305="","",TEXT(C305,"dddd"))</f>
        <v/>
      </c>
      <c r="E305" s="20" t="n"/>
      <c r="F305" s="20">
        <f>IF(G305&lt;&gt;"",IF(LEFT(UPPER(TRIM(G305)),1)="V","Drogaria Venancio",""),IF(H305&lt;&gt;"","Cristal",""))</f>
        <v/>
      </c>
      <c r="G305" s="20" t="n"/>
      <c r="H305" s="20" t="n"/>
      <c r="I305" s="20" t="n"/>
      <c r="J305" s="20" t="n"/>
      <c r="K305" s="20" t="n"/>
      <c r="L305" s="20" t="n"/>
      <c r="M305" s="37">
        <f>IF(I305="","",HYPERLINK("https://www.google.com/maps/search/?api=1&amp;query="&amp;SUBSTITUTE(I305&amp;", "&amp;J305&amp;", Rio de Janeiro"," ","+"),"Abrir no Maps"))</f>
        <v/>
      </c>
    </row>
    <row r="306">
      <c r="A306" s="16">
        <f>IF(C306="","",TEXT(C306,"mmmm"))</f>
        <v/>
      </c>
      <c r="B306" s="16">
        <f>IF(C306="","","Semana "&amp;ROUNDUP(DAY(C306)/7,0))</f>
        <v/>
      </c>
      <c r="C306" s="34" t="n"/>
      <c r="D306" s="16">
        <f>IF(C306="","",TEXT(C306,"dddd"))</f>
        <v/>
      </c>
      <c r="E306" s="16" t="n"/>
      <c r="F306" s="16">
        <f>IF(G306&lt;&gt;"",IF(LEFT(UPPER(TRIM(G306)),1)="V","Drogaria Venancio",""),IF(H306&lt;&gt;"","Cristal",""))</f>
        <v/>
      </c>
      <c r="G306" s="16" t="n"/>
      <c r="H306" s="16" t="n"/>
      <c r="I306" s="16" t="n"/>
      <c r="J306" s="16" t="n"/>
      <c r="K306" s="16" t="n"/>
      <c r="L306" s="16" t="n"/>
      <c r="M306" s="35">
        <f>IF(I306="","",HYPERLINK("https://www.google.com/maps/search/?api=1&amp;query="&amp;SUBSTITUTE(I306&amp;", "&amp;J306&amp;", Rio de Janeiro"," ","+"),"Abrir no Maps"))</f>
        <v/>
      </c>
    </row>
    <row r="307">
      <c r="A307" s="20">
        <f>IF(C307="","",TEXT(C307,"mmmm"))</f>
        <v/>
      </c>
      <c r="B307" s="20">
        <f>IF(C307="","","Semana "&amp;ROUNDUP(DAY(C307)/7,0))</f>
        <v/>
      </c>
      <c r="C307" s="36" t="n"/>
      <c r="D307" s="20">
        <f>IF(C307="","",TEXT(C307,"dddd"))</f>
        <v/>
      </c>
      <c r="E307" s="20" t="n"/>
      <c r="F307" s="20">
        <f>IF(G307&lt;&gt;"",IF(LEFT(UPPER(TRIM(G307)),1)="V","Drogaria Venancio",""),IF(H307&lt;&gt;"","Cristal",""))</f>
        <v/>
      </c>
      <c r="G307" s="20" t="n"/>
      <c r="H307" s="20" t="n"/>
      <c r="I307" s="20" t="n"/>
      <c r="J307" s="20" t="n"/>
      <c r="K307" s="20" t="n"/>
      <c r="L307" s="20" t="n"/>
      <c r="M307" s="37">
        <f>IF(I307="","",HYPERLINK("https://www.google.com/maps/search/?api=1&amp;query="&amp;SUBSTITUTE(I307&amp;", "&amp;J307&amp;", Rio de Janeiro"," ","+"),"Abrir no Maps"))</f>
        <v/>
      </c>
    </row>
    <row r="308">
      <c r="A308" s="16">
        <f>IF(C308="","",TEXT(C308,"mmmm"))</f>
        <v/>
      </c>
      <c r="B308" s="16">
        <f>IF(C308="","","Semana "&amp;ROUNDUP(DAY(C308)/7,0))</f>
        <v/>
      </c>
      <c r="C308" s="34" t="n"/>
      <c r="D308" s="16">
        <f>IF(C308="","",TEXT(C308,"dddd"))</f>
        <v/>
      </c>
      <c r="E308" s="16" t="n"/>
      <c r="F308" s="16">
        <f>IF(G308&lt;&gt;"",IF(LEFT(UPPER(TRIM(G308)),1)="V","Drogaria Venancio",""),IF(H308&lt;&gt;"","Cristal",""))</f>
        <v/>
      </c>
      <c r="G308" s="16" t="n"/>
      <c r="H308" s="16" t="n"/>
      <c r="I308" s="16" t="n"/>
      <c r="J308" s="16" t="n"/>
      <c r="K308" s="16" t="n"/>
      <c r="L308" s="16" t="n"/>
      <c r="M308" s="35">
        <f>IF(I308="","",HYPERLINK("https://www.google.com/maps/search/?api=1&amp;query="&amp;SUBSTITUTE(I308&amp;", "&amp;J308&amp;", Rio de Janeiro"," ","+"),"Abrir no Maps"))</f>
        <v/>
      </c>
    </row>
    <row r="309">
      <c r="A309" s="20">
        <f>IF(C309="","",TEXT(C309,"mmmm"))</f>
        <v/>
      </c>
      <c r="B309" s="20">
        <f>IF(C309="","","Semana "&amp;ROUNDUP(DAY(C309)/7,0))</f>
        <v/>
      </c>
      <c r="C309" s="36" t="n"/>
      <c r="D309" s="20">
        <f>IF(C309="","",TEXT(C309,"dddd"))</f>
        <v/>
      </c>
      <c r="E309" s="20" t="n"/>
      <c r="F309" s="20">
        <f>IF(G309&lt;&gt;"",IF(LEFT(UPPER(TRIM(G309)),1)="V","Drogaria Venancio",""),IF(H309&lt;&gt;"","Cristal",""))</f>
        <v/>
      </c>
      <c r="G309" s="20" t="n"/>
      <c r="H309" s="20" t="n"/>
      <c r="I309" s="20" t="n"/>
      <c r="J309" s="20" t="n"/>
      <c r="K309" s="20" t="n"/>
      <c r="L309" s="20" t="n"/>
      <c r="M309" s="37">
        <f>IF(I309="","",HYPERLINK("https://www.google.com/maps/search/?api=1&amp;query="&amp;SUBSTITUTE(I309&amp;", "&amp;J309&amp;", Rio de Janeiro"," ","+"),"Abrir no Maps"))</f>
        <v/>
      </c>
    </row>
    <row r="310">
      <c r="A310" s="16">
        <f>IF(C310="","",TEXT(C310,"mmmm"))</f>
        <v/>
      </c>
      <c r="B310" s="16">
        <f>IF(C310="","","Semana "&amp;ROUNDUP(DAY(C310)/7,0))</f>
        <v/>
      </c>
      <c r="C310" s="34" t="n"/>
      <c r="D310" s="16">
        <f>IF(C310="","",TEXT(C310,"dddd"))</f>
        <v/>
      </c>
      <c r="E310" s="16" t="n"/>
      <c r="F310" s="16">
        <f>IF(G310&lt;&gt;"",IF(LEFT(UPPER(TRIM(G310)),1)="V","Drogaria Venancio",""),IF(H310&lt;&gt;"","Cristal",""))</f>
        <v/>
      </c>
      <c r="G310" s="16" t="n"/>
      <c r="H310" s="16" t="n"/>
      <c r="I310" s="16" t="n"/>
      <c r="J310" s="16" t="n"/>
      <c r="K310" s="16" t="n"/>
      <c r="L310" s="16" t="n"/>
      <c r="M310" s="35">
        <f>IF(I310="","",HYPERLINK("https://www.google.com/maps/search/?api=1&amp;query="&amp;SUBSTITUTE(I310&amp;", "&amp;J310&amp;", Rio de Janeiro"," ","+"),"Abrir no Maps"))</f>
        <v/>
      </c>
    </row>
    <row r="311">
      <c r="A311" s="20">
        <f>IF(C311="","",TEXT(C311,"mmmm"))</f>
        <v/>
      </c>
      <c r="B311" s="20">
        <f>IF(C311="","","Semana "&amp;ROUNDUP(DAY(C311)/7,0))</f>
        <v/>
      </c>
      <c r="C311" s="36" t="n"/>
      <c r="D311" s="20">
        <f>IF(C311="","",TEXT(C311,"dddd"))</f>
        <v/>
      </c>
      <c r="E311" s="20" t="n"/>
      <c r="F311" s="20">
        <f>IF(G311&lt;&gt;"",IF(LEFT(UPPER(TRIM(G311)),1)="V","Drogaria Venancio",""),IF(H311&lt;&gt;"","Cristal",""))</f>
        <v/>
      </c>
      <c r="G311" s="20" t="n"/>
      <c r="H311" s="20" t="n"/>
      <c r="I311" s="20" t="n"/>
      <c r="J311" s="20" t="n"/>
      <c r="K311" s="20" t="n"/>
      <c r="L311" s="20" t="n"/>
      <c r="M311" s="37">
        <f>IF(I311="","",HYPERLINK("https://www.google.com/maps/search/?api=1&amp;query="&amp;SUBSTITUTE(I311&amp;", "&amp;J311&amp;", Rio de Janeiro"," ","+"),"Abrir no Maps"))</f>
        <v/>
      </c>
    </row>
    <row r="312">
      <c r="A312" s="16">
        <f>IF(C312="","",TEXT(C312,"mmmm"))</f>
        <v/>
      </c>
      <c r="B312" s="16">
        <f>IF(C312="","","Semana "&amp;ROUNDUP(DAY(C312)/7,0))</f>
        <v/>
      </c>
      <c r="C312" s="34" t="n"/>
      <c r="D312" s="16">
        <f>IF(C312="","",TEXT(C312,"dddd"))</f>
        <v/>
      </c>
      <c r="E312" s="16" t="n"/>
      <c r="F312" s="16">
        <f>IF(G312&lt;&gt;"",IF(LEFT(UPPER(TRIM(G312)),1)="V","Drogaria Venancio",""),IF(H312&lt;&gt;"","Cristal",""))</f>
        <v/>
      </c>
      <c r="G312" s="16" t="n"/>
      <c r="H312" s="16" t="n"/>
      <c r="I312" s="16" t="n"/>
      <c r="J312" s="16" t="n"/>
      <c r="K312" s="16" t="n"/>
      <c r="L312" s="16" t="n"/>
      <c r="M312" s="35">
        <f>IF(I312="","",HYPERLINK("https://www.google.com/maps/search/?api=1&amp;query="&amp;SUBSTITUTE(I312&amp;", "&amp;J312&amp;", Rio de Janeiro"," ","+"),"Abrir no Maps"))</f>
        <v/>
      </c>
    </row>
    <row r="313">
      <c r="A313" s="20">
        <f>IF(C313="","",TEXT(C313,"mmmm"))</f>
        <v/>
      </c>
      <c r="B313" s="20">
        <f>IF(C313="","","Semana "&amp;ROUNDUP(DAY(C313)/7,0))</f>
        <v/>
      </c>
      <c r="C313" s="36" t="n"/>
      <c r="D313" s="20">
        <f>IF(C313="","",TEXT(C313,"dddd"))</f>
        <v/>
      </c>
      <c r="E313" s="20" t="n"/>
      <c r="F313" s="20">
        <f>IF(G313&lt;&gt;"",IF(LEFT(UPPER(TRIM(G313)),1)="V","Drogaria Venancio",""),IF(H313&lt;&gt;"","Cristal",""))</f>
        <v/>
      </c>
      <c r="G313" s="20" t="n"/>
      <c r="H313" s="20" t="n"/>
      <c r="I313" s="20" t="n"/>
      <c r="J313" s="20" t="n"/>
      <c r="K313" s="20" t="n"/>
      <c r="L313" s="20" t="n"/>
      <c r="M313" s="37">
        <f>IF(I313="","",HYPERLINK("https://www.google.com/maps/search/?api=1&amp;query="&amp;SUBSTITUTE(I313&amp;", "&amp;J313&amp;", Rio de Janeiro"," ","+"),"Abrir no Maps"))</f>
        <v/>
      </c>
    </row>
    <row r="314">
      <c r="A314" s="16">
        <f>IF(C314="","",TEXT(C314,"mmmm"))</f>
        <v/>
      </c>
      <c r="B314" s="16">
        <f>IF(C314="","","Semana "&amp;ROUNDUP(DAY(C314)/7,0))</f>
        <v/>
      </c>
      <c r="C314" s="34" t="n"/>
      <c r="D314" s="16">
        <f>IF(C314="","",TEXT(C314,"dddd"))</f>
        <v/>
      </c>
      <c r="E314" s="16" t="n"/>
      <c r="F314" s="16">
        <f>IF(G314&lt;&gt;"",IF(LEFT(UPPER(TRIM(G314)),1)="V","Drogaria Venancio",""),IF(H314&lt;&gt;"","Cristal",""))</f>
        <v/>
      </c>
      <c r="G314" s="16" t="n"/>
      <c r="H314" s="16" t="n"/>
      <c r="I314" s="16" t="n"/>
      <c r="J314" s="16" t="n"/>
      <c r="K314" s="16" t="n"/>
      <c r="L314" s="16" t="n"/>
      <c r="M314" s="35">
        <f>IF(I314="","",HYPERLINK("https://www.google.com/maps/search/?api=1&amp;query="&amp;SUBSTITUTE(I314&amp;", "&amp;J314&amp;", Rio de Janeiro"," ","+"),"Abrir no Maps"))</f>
        <v/>
      </c>
    </row>
    <row r="315">
      <c r="A315" s="20">
        <f>IF(C315="","",TEXT(C315,"mmmm"))</f>
        <v/>
      </c>
      <c r="B315" s="20">
        <f>IF(C315="","","Semana "&amp;ROUNDUP(DAY(C315)/7,0))</f>
        <v/>
      </c>
      <c r="C315" s="36" t="n"/>
      <c r="D315" s="20">
        <f>IF(C315="","",TEXT(C315,"dddd"))</f>
        <v/>
      </c>
      <c r="E315" s="20" t="n"/>
      <c r="F315" s="20">
        <f>IF(G315&lt;&gt;"",IF(LEFT(UPPER(TRIM(G315)),1)="V","Drogaria Venancio",""),IF(H315&lt;&gt;"","Cristal",""))</f>
        <v/>
      </c>
      <c r="G315" s="20" t="n"/>
      <c r="H315" s="20" t="n"/>
      <c r="I315" s="20" t="n"/>
      <c r="J315" s="20" t="n"/>
      <c r="K315" s="20" t="n"/>
      <c r="L315" s="20" t="n"/>
      <c r="M315" s="37">
        <f>IF(I315="","",HYPERLINK("https://www.google.com/maps/search/?api=1&amp;query="&amp;SUBSTITUTE(I315&amp;", "&amp;J315&amp;", Rio de Janeiro"," ","+"),"Abrir no Maps"))</f>
        <v/>
      </c>
    </row>
    <row r="316">
      <c r="A316" s="16">
        <f>IF(C316="","",TEXT(C316,"mmmm"))</f>
        <v/>
      </c>
      <c r="B316" s="16">
        <f>IF(C316="","","Semana "&amp;ROUNDUP(DAY(C316)/7,0))</f>
        <v/>
      </c>
      <c r="C316" s="34" t="n"/>
      <c r="D316" s="16">
        <f>IF(C316="","",TEXT(C316,"dddd"))</f>
        <v/>
      </c>
      <c r="E316" s="16" t="n"/>
      <c r="F316" s="16">
        <f>IF(G316&lt;&gt;"",IF(LEFT(UPPER(TRIM(G316)),1)="V","Drogaria Venancio",""),IF(H316&lt;&gt;"","Cristal",""))</f>
        <v/>
      </c>
      <c r="G316" s="16" t="n"/>
      <c r="H316" s="16" t="n"/>
      <c r="I316" s="16" t="n"/>
      <c r="J316" s="16" t="n"/>
      <c r="K316" s="16" t="n"/>
      <c r="L316" s="16" t="n"/>
      <c r="M316" s="35">
        <f>IF(I316="","",HYPERLINK("https://www.google.com/maps/search/?api=1&amp;query="&amp;SUBSTITUTE(I316&amp;", "&amp;J316&amp;", Rio de Janeiro"," ","+"),"Abrir no Maps"))</f>
        <v/>
      </c>
    </row>
    <row r="317">
      <c r="A317" s="20">
        <f>IF(C317="","",TEXT(C317,"mmmm"))</f>
        <v/>
      </c>
      <c r="B317" s="20">
        <f>IF(C317="","","Semana "&amp;ROUNDUP(DAY(C317)/7,0))</f>
        <v/>
      </c>
      <c r="C317" s="36" t="n"/>
      <c r="D317" s="20">
        <f>IF(C317="","",TEXT(C317,"dddd"))</f>
        <v/>
      </c>
      <c r="E317" s="20" t="n"/>
      <c r="F317" s="20">
        <f>IF(G317&lt;&gt;"",IF(LEFT(UPPER(TRIM(G317)),1)="V","Drogaria Venancio",""),IF(H317&lt;&gt;"","Cristal",""))</f>
        <v/>
      </c>
      <c r="G317" s="20" t="n"/>
      <c r="H317" s="20" t="n"/>
      <c r="I317" s="20" t="n"/>
      <c r="J317" s="20" t="n"/>
      <c r="K317" s="20" t="n"/>
      <c r="L317" s="20" t="n"/>
      <c r="M317" s="37">
        <f>IF(I317="","",HYPERLINK("https://www.google.com/maps/search/?api=1&amp;query="&amp;SUBSTITUTE(I317&amp;", "&amp;J317&amp;", Rio de Janeiro"," ","+"),"Abrir no Maps"))</f>
        <v/>
      </c>
    </row>
    <row r="318">
      <c r="A318" s="16">
        <f>IF(C318="","",TEXT(C318,"mmmm"))</f>
        <v/>
      </c>
      <c r="B318" s="16">
        <f>IF(C318="","","Semana "&amp;ROUNDUP(DAY(C318)/7,0))</f>
        <v/>
      </c>
      <c r="C318" s="34" t="n"/>
      <c r="D318" s="16">
        <f>IF(C318="","",TEXT(C318,"dddd"))</f>
        <v/>
      </c>
      <c r="E318" s="16" t="n"/>
      <c r="F318" s="16">
        <f>IF(G318&lt;&gt;"",IF(LEFT(UPPER(TRIM(G318)),1)="V","Drogaria Venancio",""),IF(H318&lt;&gt;"","Cristal",""))</f>
        <v/>
      </c>
      <c r="G318" s="16" t="n"/>
      <c r="H318" s="16" t="n"/>
      <c r="I318" s="16" t="n"/>
      <c r="J318" s="16" t="n"/>
      <c r="K318" s="16" t="n"/>
      <c r="L318" s="16" t="n"/>
      <c r="M318" s="35">
        <f>IF(I318="","",HYPERLINK("https://www.google.com/maps/search/?api=1&amp;query="&amp;SUBSTITUTE(I318&amp;", "&amp;J318&amp;", Rio de Janeiro"," ","+"),"Abrir no Maps"))</f>
        <v/>
      </c>
    </row>
    <row r="319">
      <c r="A319" s="20">
        <f>IF(C319="","",TEXT(C319,"mmmm"))</f>
        <v/>
      </c>
      <c r="B319" s="20">
        <f>IF(C319="","","Semana "&amp;ROUNDUP(DAY(C319)/7,0))</f>
        <v/>
      </c>
      <c r="C319" s="36" t="n"/>
      <c r="D319" s="20">
        <f>IF(C319="","",TEXT(C319,"dddd"))</f>
        <v/>
      </c>
      <c r="E319" s="20" t="n"/>
      <c r="F319" s="20">
        <f>IF(G319&lt;&gt;"",IF(LEFT(UPPER(TRIM(G319)),1)="V","Drogaria Venancio",""),IF(H319&lt;&gt;"","Cristal",""))</f>
        <v/>
      </c>
      <c r="G319" s="20" t="n"/>
      <c r="H319" s="20" t="n"/>
      <c r="I319" s="20" t="n"/>
      <c r="J319" s="20" t="n"/>
      <c r="K319" s="20" t="n"/>
      <c r="L319" s="20" t="n"/>
      <c r="M319" s="37">
        <f>IF(I319="","",HYPERLINK("https://www.google.com/maps/search/?api=1&amp;query="&amp;SUBSTITUTE(I319&amp;", "&amp;J319&amp;", Rio de Janeiro"," ","+"),"Abrir no Maps"))</f>
        <v/>
      </c>
    </row>
    <row r="320">
      <c r="A320" s="16">
        <f>IF(C320="","",TEXT(C320,"mmmm"))</f>
        <v/>
      </c>
      <c r="B320" s="16">
        <f>IF(C320="","","Semana "&amp;ROUNDUP(DAY(C320)/7,0))</f>
        <v/>
      </c>
      <c r="C320" s="34" t="n"/>
      <c r="D320" s="16">
        <f>IF(C320="","",TEXT(C320,"dddd"))</f>
        <v/>
      </c>
      <c r="E320" s="16" t="n"/>
      <c r="F320" s="16">
        <f>IF(G320&lt;&gt;"",IF(LEFT(UPPER(TRIM(G320)),1)="V","Drogaria Venancio",""),IF(H320&lt;&gt;"","Cristal",""))</f>
        <v/>
      </c>
      <c r="G320" s="16" t="n"/>
      <c r="H320" s="16" t="n"/>
      <c r="I320" s="16" t="n"/>
      <c r="J320" s="16" t="n"/>
      <c r="K320" s="16" t="n"/>
      <c r="L320" s="16" t="n"/>
      <c r="M320" s="35">
        <f>IF(I320="","",HYPERLINK("https://www.google.com/maps/search/?api=1&amp;query="&amp;SUBSTITUTE(I320&amp;", "&amp;J320&amp;", Rio de Janeiro"," ","+"),"Abrir no Maps"))</f>
        <v/>
      </c>
    </row>
    <row r="321">
      <c r="A321" s="20">
        <f>IF(C321="","",TEXT(C321,"mmmm"))</f>
        <v/>
      </c>
      <c r="B321" s="20">
        <f>IF(C321="","","Semana "&amp;ROUNDUP(DAY(C321)/7,0))</f>
        <v/>
      </c>
      <c r="C321" s="36" t="n"/>
      <c r="D321" s="20">
        <f>IF(C321="","",TEXT(C321,"dddd"))</f>
        <v/>
      </c>
      <c r="E321" s="20" t="n"/>
      <c r="F321" s="20">
        <f>IF(G321&lt;&gt;"",IF(LEFT(UPPER(TRIM(G321)),1)="V","Drogaria Venancio",""),IF(H321&lt;&gt;"","Cristal",""))</f>
        <v/>
      </c>
      <c r="G321" s="20" t="n"/>
      <c r="H321" s="20" t="n"/>
      <c r="I321" s="20" t="n"/>
      <c r="J321" s="20" t="n"/>
      <c r="K321" s="20" t="n"/>
      <c r="L321" s="20" t="n"/>
      <c r="M321" s="37">
        <f>IF(I321="","",HYPERLINK("https://www.google.com/maps/search/?api=1&amp;query="&amp;SUBSTITUTE(I321&amp;", "&amp;J321&amp;", Rio de Janeiro"," ","+"),"Abrir no Maps"))</f>
        <v/>
      </c>
    </row>
    <row r="322">
      <c r="A322" s="16">
        <f>IF(C322="","",TEXT(C322,"mmmm"))</f>
        <v/>
      </c>
      <c r="B322" s="16">
        <f>IF(C322="","","Semana "&amp;ROUNDUP(DAY(C322)/7,0))</f>
        <v/>
      </c>
      <c r="C322" s="34" t="n"/>
      <c r="D322" s="16">
        <f>IF(C322="","",TEXT(C322,"dddd"))</f>
        <v/>
      </c>
      <c r="E322" s="16" t="n"/>
      <c r="F322" s="16">
        <f>IF(G322&lt;&gt;"",IF(LEFT(UPPER(TRIM(G322)),1)="V","Drogaria Venancio",""),IF(H322&lt;&gt;"","Cristal",""))</f>
        <v/>
      </c>
      <c r="G322" s="16" t="n"/>
      <c r="H322" s="16" t="n"/>
      <c r="I322" s="16" t="n"/>
      <c r="J322" s="16" t="n"/>
      <c r="K322" s="16" t="n"/>
      <c r="L322" s="16" t="n"/>
      <c r="M322" s="35">
        <f>IF(I322="","",HYPERLINK("https://www.google.com/maps/search/?api=1&amp;query="&amp;SUBSTITUTE(I322&amp;", "&amp;J322&amp;", Rio de Janeiro"," ","+"),"Abrir no Maps"))</f>
        <v/>
      </c>
    </row>
    <row r="323">
      <c r="A323" s="20">
        <f>IF(C323="","",TEXT(C323,"mmmm"))</f>
        <v/>
      </c>
      <c r="B323" s="20">
        <f>IF(C323="","","Semana "&amp;ROUNDUP(DAY(C323)/7,0))</f>
        <v/>
      </c>
      <c r="C323" s="36" t="n"/>
      <c r="D323" s="20">
        <f>IF(C323="","",TEXT(C323,"dddd"))</f>
        <v/>
      </c>
      <c r="E323" s="20" t="n"/>
      <c r="F323" s="20">
        <f>IF(G323&lt;&gt;"",IF(LEFT(UPPER(TRIM(G323)),1)="V","Drogaria Venancio",""),IF(H323&lt;&gt;"","Cristal",""))</f>
        <v/>
      </c>
      <c r="G323" s="20" t="n"/>
      <c r="H323" s="20" t="n"/>
      <c r="I323" s="20" t="n"/>
      <c r="J323" s="20" t="n"/>
      <c r="K323" s="20" t="n"/>
      <c r="L323" s="20" t="n"/>
      <c r="M323" s="37">
        <f>IF(I323="","",HYPERLINK("https://www.google.com/maps/search/?api=1&amp;query="&amp;SUBSTITUTE(I323&amp;", "&amp;J323&amp;", Rio de Janeiro"," ","+"),"Abrir no Maps"))</f>
        <v/>
      </c>
    </row>
    <row r="324">
      <c r="A324" s="16">
        <f>IF(C324="","",TEXT(C324,"mmmm"))</f>
        <v/>
      </c>
      <c r="B324" s="16">
        <f>IF(C324="","","Semana "&amp;ROUNDUP(DAY(C324)/7,0))</f>
        <v/>
      </c>
      <c r="C324" s="34" t="n"/>
      <c r="D324" s="16">
        <f>IF(C324="","",TEXT(C324,"dddd"))</f>
        <v/>
      </c>
      <c r="E324" s="16" t="n"/>
      <c r="F324" s="16">
        <f>IF(G324&lt;&gt;"",IF(LEFT(UPPER(TRIM(G324)),1)="V","Drogaria Venancio",""),IF(H324&lt;&gt;"","Cristal",""))</f>
        <v/>
      </c>
      <c r="G324" s="16" t="n"/>
      <c r="H324" s="16" t="n"/>
      <c r="I324" s="16" t="n"/>
      <c r="J324" s="16" t="n"/>
      <c r="K324" s="16" t="n"/>
      <c r="L324" s="16" t="n"/>
      <c r="M324" s="35">
        <f>IF(I324="","",HYPERLINK("https://www.google.com/maps/search/?api=1&amp;query="&amp;SUBSTITUTE(I324&amp;", "&amp;J324&amp;", Rio de Janeiro"," ","+"),"Abrir no Maps"))</f>
        <v/>
      </c>
    </row>
    <row r="325">
      <c r="A325" s="20">
        <f>IF(C325="","",TEXT(C325,"mmmm"))</f>
        <v/>
      </c>
      <c r="B325" s="20">
        <f>IF(C325="","","Semana "&amp;ROUNDUP(DAY(C325)/7,0))</f>
        <v/>
      </c>
      <c r="C325" s="36" t="n"/>
      <c r="D325" s="20">
        <f>IF(C325="","",TEXT(C325,"dddd"))</f>
        <v/>
      </c>
      <c r="E325" s="20" t="n"/>
      <c r="F325" s="20">
        <f>IF(G325&lt;&gt;"",IF(LEFT(UPPER(TRIM(G325)),1)="V","Drogaria Venancio",""),IF(H325&lt;&gt;"","Cristal",""))</f>
        <v/>
      </c>
      <c r="G325" s="20" t="n"/>
      <c r="H325" s="20" t="n"/>
      <c r="I325" s="20" t="n"/>
      <c r="J325" s="20" t="n"/>
      <c r="K325" s="20" t="n"/>
      <c r="L325" s="20" t="n"/>
      <c r="M325" s="37">
        <f>IF(I325="","",HYPERLINK("https://www.google.com/maps/search/?api=1&amp;query="&amp;SUBSTITUTE(I325&amp;", "&amp;J325&amp;", Rio de Janeiro"," ","+"),"Abrir no Maps"))</f>
        <v/>
      </c>
    </row>
    <row r="326">
      <c r="A326" s="16">
        <f>IF(C326="","",TEXT(C326,"mmmm"))</f>
        <v/>
      </c>
      <c r="B326" s="16">
        <f>IF(C326="","","Semana "&amp;ROUNDUP(DAY(C326)/7,0))</f>
        <v/>
      </c>
      <c r="C326" s="34" t="n"/>
      <c r="D326" s="16">
        <f>IF(C326="","",TEXT(C326,"dddd"))</f>
        <v/>
      </c>
      <c r="E326" s="16" t="n"/>
      <c r="F326" s="16">
        <f>IF(G326&lt;&gt;"",IF(LEFT(UPPER(TRIM(G326)),1)="V","Drogaria Venancio",""),IF(H326&lt;&gt;"","Cristal",""))</f>
        <v/>
      </c>
      <c r="G326" s="16" t="n"/>
      <c r="H326" s="16" t="n"/>
      <c r="I326" s="16" t="n"/>
      <c r="J326" s="16" t="n"/>
      <c r="K326" s="16" t="n"/>
      <c r="L326" s="16" t="n"/>
      <c r="M326" s="35">
        <f>IF(I326="","",HYPERLINK("https://www.google.com/maps/search/?api=1&amp;query="&amp;SUBSTITUTE(I326&amp;", "&amp;J326&amp;", Rio de Janeiro"," ","+"),"Abrir no Maps"))</f>
        <v/>
      </c>
    </row>
    <row r="327">
      <c r="A327" s="20">
        <f>IF(C327="","",TEXT(C327,"mmmm"))</f>
        <v/>
      </c>
      <c r="B327" s="20">
        <f>IF(C327="","","Semana "&amp;ROUNDUP(DAY(C327)/7,0))</f>
        <v/>
      </c>
      <c r="C327" s="36" t="n"/>
      <c r="D327" s="20">
        <f>IF(C327="","",TEXT(C327,"dddd"))</f>
        <v/>
      </c>
      <c r="E327" s="20" t="n"/>
      <c r="F327" s="20">
        <f>IF(G327&lt;&gt;"",IF(LEFT(UPPER(TRIM(G327)),1)="V","Drogaria Venancio",""),IF(H327&lt;&gt;"","Cristal",""))</f>
        <v/>
      </c>
      <c r="G327" s="20" t="n"/>
      <c r="H327" s="20" t="n"/>
      <c r="I327" s="20" t="n"/>
      <c r="J327" s="20" t="n"/>
      <c r="K327" s="20" t="n"/>
      <c r="L327" s="20" t="n"/>
      <c r="M327" s="37">
        <f>IF(I327="","",HYPERLINK("https://www.google.com/maps/search/?api=1&amp;query="&amp;SUBSTITUTE(I327&amp;", "&amp;J327&amp;", Rio de Janeiro"," ","+"),"Abrir no Maps"))</f>
        <v/>
      </c>
    </row>
    <row r="328">
      <c r="A328" s="16">
        <f>IF(C328="","",TEXT(C328,"mmmm"))</f>
        <v/>
      </c>
      <c r="B328" s="16">
        <f>IF(C328="","","Semana "&amp;ROUNDUP(DAY(C328)/7,0))</f>
        <v/>
      </c>
      <c r="C328" s="34" t="n"/>
      <c r="D328" s="16">
        <f>IF(C328="","",TEXT(C328,"dddd"))</f>
        <v/>
      </c>
      <c r="E328" s="16" t="n"/>
      <c r="F328" s="16">
        <f>IF(G328&lt;&gt;"",IF(LEFT(UPPER(TRIM(G328)),1)="V","Drogaria Venancio",""),IF(H328&lt;&gt;"","Cristal",""))</f>
        <v/>
      </c>
      <c r="G328" s="16" t="n"/>
      <c r="H328" s="16" t="n"/>
      <c r="I328" s="16" t="n"/>
      <c r="J328" s="16" t="n"/>
      <c r="K328" s="16" t="n"/>
      <c r="L328" s="16" t="n"/>
      <c r="M328" s="35">
        <f>IF(I328="","",HYPERLINK("https://www.google.com/maps/search/?api=1&amp;query="&amp;SUBSTITUTE(I328&amp;", "&amp;J328&amp;", Rio de Janeiro"," ","+"),"Abrir no Maps"))</f>
        <v/>
      </c>
    </row>
    <row r="329">
      <c r="A329" s="20">
        <f>IF(C329="","",TEXT(C329,"mmmm"))</f>
        <v/>
      </c>
      <c r="B329" s="20">
        <f>IF(C329="","","Semana "&amp;ROUNDUP(DAY(C329)/7,0))</f>
        <v/>
      </c>
      <c r="C329" s="36" t="n"/>
      <c r="D329" s="20">
        <f>IF(C329="","",TEXT(C329,"dddd"))</f>
        <v/>
      </c>
      <c r="E329" s="20" t="n"/>
      <c r="F329" s="20">
        <f>IF(G329&lt;&gt;"",IF(LEFT(UPPER(TRIM(G329)),1)="V","Drogaria Venancio",""),IF(H329&lt;&gt;"","Cristal",""))</f>
        <v/>
      </c>
      <c r="G329" s="20" t="n"/>
      <c r="H329" s="20" t="n"/>
      <c r="I329" s="20" t="n"/>
      <c r="J329" s="20" t="n"/>
      <c r="K329" s="20" t="n"/>
      <c r="L329" s="20" t="n"/>
      <c r="M329" s="37">
        <f>IF(I329="","",HYPERLINK("https://www.google.com/maps/search/?api=1&amp;query="&amp;SUBSTITUTE(I329&amp;", "&amp;J329&amp;", Rio de Janeiro"," ","+"),"Abrir no Maps"))</f>
        <v/>
      </c>
    </row>
    <row r="330">
      <c r="A330" s="16">
        <f>IF(C330="","",TEXT(C330,"mmmm"))</f>
        <v/>
      </c>
      <c r="B330" s="16">
        <f>IF(C330="","","Semana "&amp;ROUNDUP(DAY(C330)/7,0))</f>
        <v/>
      </c>
      <c r="C330" s="34" t="n"/>
      <c r="D330" s="16">
        <f>IF(C330="","",TEXT(C330,"dddd"))</f>
        <v/>
      </c>
      <c r="E330" s="16" t="n"/>
      <c r="F330" s="16">
        <f>IF(G330&lt;&gt;"",IF(LEFT(UPPER(TRIM(G330)),1)="V","Drogaria Venancio",""),IF(H330&lt;&gt;"","Cristal",""))</f>
        <v/>
      </c>
      <c r="G330" s="16" t="n"/>
      <c r="H330" s="16" t="n"/>
      <c r="I330" s="16" t="n"/>
      <c r="J330" s="16" t="n"/>
      <c r="K330" s="16" t="n"/>
      <c r="L330" s="16" t="n"/>
      <c r="M330" s="35">
        <f>IF(I330="","",HYPERLINK("https://www.google.com/maps/search/?api=1&amp;query="&amp;SUBSTITUTE(I330&amp;", "&amp;J330&amp;", Rio de Janeiro"," ","+"),"Abrir no Maps"))</f>
        <v/>
      </c>
    </row>
    <row r="331">
      <c r="A331" s="20">
        <f>IF(C331="","",TEXT(C331,"mmmm"))</f>
        <v/>
      </c>
      <c r="B331" s="20">
        <f>IF(C331="","","Semana "&amp;ROUNDUP(DAY(C331)/7,0))</f>
        <v/>
      </c>
      <c r="C331" s="36" t="n"/>
      <c r="D331" s="20">
        <f>IF(C331="","",TEXT(C331,"dddd"))</f>
        <v/>
      </c>
      <c r="E331" s="20" t="n"/>
      <c r="F331" s="20">
        <f>IF(G331&lt;&gt;"",IF(LEFT(UPPER(TRIM(G331)),1)="V","Drogaria Venancio",""),IF(H331&lt;&gt;"","Cristal",""))</f>
        <v/>
      </c>
      <c r="G331" s="20" t="n"/>
      <c r="H331" s="20" t="n"/>
      <c r="I331" s="20" t="n"/>
      <c r="J331" s="20" t="n"/>
      <c r="K331" s="20" t="n"/>
      <c r="L331" s="20" t="n"/>
      <c r="M331" s="37">
        <f>IF(I331="","",HYPERLINK("https://www.google.com/maps/search/?api=1&amp;query="&amp;SUBSTITUTE(I331&amp;", "&amp;J331&amp;", Rio de Janeiro"," ","+"),"Abrir no Maps"))</f>
        <v/>
      </c>
    </row>
    <row r="332">
      <c r="A332" s="16">
        <f>IF(C332="","",TEXT(C332,"mmmm"))</f>
        <v/>
      </c>
      <c r="B332" s="16">
        <f>IF(C332="","","Semana "&amp;ROUNDUP(DAY(C332)/7,0))</f>
        <v/>
      </c>
      <c r="C332" s="34" t="n"/>
      <c r="D332" s="16">
        <f>IF(C332="","",TEXT(C332,"dddd"))</f>
        <v/>
      </c>
      <c r="E332" s="16" t="n"/>
      <c r="F332" s="16">
        <f>IF(G332&lt;&gt;"",IF(LEFT(UPPER(TRIM(G332)),1)="V","Drogaria Venancio",""),IF(H332&lt;&gt;"","Cristal",""))</f>
        <v/>
      </c>
      <c r="G332" s="16" t="n"/>
      <c r="H332" s="16" t="n"/>
      <c r="I332" s="16" t="n"/>
      <c r="J332" s="16" t="n"/>
      <c r="K332" s="16" t="n"/>
      <c r="L332" s="16" t="n"/>
      <c r="M332" s="35">
        <f>IF(I332="","",HYPERLINK("https://www.google.com/maps/search/?api=1&amp;query="&amp;SUBSTITUTE(I332&amp;", "&amp;J332&amp;", Rio de Janeiro"," ","+"),"Abrir no Maps"))</f>
        <v/>
      </c>
    </row>
    <row r="333">
      <c r="A333" s="20">
        <f>IF(C333="","",TEXT(C333,"mmmm"))</f>
        <v/>
      </c>
      <c r="B333" s="20">
        <f>IF(C333="","","Semana "&amp;ROUNDUP(DAY(C333)/7,0))</f>
        <v/>
      </c>
      <c r="C333" s="36" t="n"/>
      <c r="D333" s="20">
        <f>IF(C333="","",TEXT(C333,"dddd"))</f>
        <v/>
      </c>
      <c r="E333" s="20" t="n"/>
      <c r="F333" s="20">
        <f>IF(G333&lt;&gt;"",IF(LEFT(UPPER(TRIM(G333)),1)="V","Drogaria Venancio",""),IF(H333&lt;&gt;"","Cristal",""))</f>
        <v/>
      </c>
      <c r="G333" s="20" t="n"/>
      <c r="H333" s="20" t="n"/>
      <c r="I333" s="20" t="n"/>
      <c r="J333" s="20" t="n"/>
      <c r="K333" s="20" t="n"/>
      <c r="L333" s="20" t="n"/>
      <c r="M333" s="37">
        <f>IF(I333="","",HYPERLINK("https://www.google.com/maps/search/?api=1&amp;query="&amp;SUBSTITUTE(I333&amp;", "&amp;J333&amp;", Rio de Janeiro"," ","+"),"Abrir no Maps"))</f>
        <v/>
      </c>
    </row>
    <row r="334">
      <c r="A334" s="16">
        <f>IF(C334="","",TEXT(C334,"mmmm"))</f>
        <v/>
      </c>
      <c r="B334" s="16">
        <f>IF(C334="","","Semana "&amp;ROUNDUP(DAY(C334)/7,0))</f>
        <v/>
      </c>
      <c r="C334" s="34" t="n"/>
      <c r="D334" s="16">
        <f>IF(C334="","",TEXT(C334,"dddd"))</f>
        <v/>
      </c>
      <c r="E334" s="16" t="n"/>
      <c r="F334" s="16">
        <f>IF(G334&lt;&gt;"",IF(LEFT(UPPER(TRIM(G334)),1)="V","Drogaria Venancio",""),IF(H334&lt;&gt;"","Cristal",""))</f>
        <v/>
      </c>
      <c r="G334" s="16" t="n"/>
      <c r="H334" s="16" t="n"/>
      <c r="I334" s="16" t="n"/>
      <c r="J334" s="16" t="n"/>
      <c r="K334" s="16" t="n"/>
      <c r="L334" s="16" t="n"/>
      <c r="M334" s="35">
        <f>IF(I334="","",HYPERLINK("https://www.google.com/maps/search/?api=1&amp;query="&amp;SUBSTITUTE(I334&amp;", "&amp;J334&amp;", Rio de Janeiro"," ","+"),"Abrir no Maps"))</f>
        <v/>
      </c>
    </row>
    <row r="335">
      <c r="A335" s="20">
        <f>IF(C335="","",TEXT(C335,"mmmm"))</f>
        <v/>
      </c>
      <c r="B335" s="20">
        <f>IF(C335="","","Semana "&amp;ROUNDUP(DAY(C335)/7,0))</f>
        <v/>
      </c>
      <c r="C335" s="36" t="n"/>
      <c r="D335" s="20">
        <f>IF(C335="","",TEXT(C335,"dddd"))</f>
        <v/>
      </c>
      <c r="E335" s="20" t="n"/>
      <c r="F335" s="20">
        <f>IF(G335&lt;&gt;"",IF(LEFT(UPPER(TRIM(G335)),1)="V","Drogaria Venancio",""),IF(H335&lt;&gt;"","Cristal",""))</f>
        <v/>
      </c>
      <c r="G335" s="20" t="n"/>
      <c r="H335" s="20" t="n"/>
      <c r="I335" s="20" t="n"/>
      <c r="J335" s="20" t="n"/>
      <c r="K335" s="20" t="n"/>
      <c r="L335" s="20" t="n"/>
      <c r="M335" s="37">
        <f>IF(I335="","",HYPERLINK("https://www.google.com/maps/search/?api=1&amp;query="&amp;SUBSTITUTE(I335&amp;", "&amp;J335&amp;", Rio de Janeiro"," ","+"),"Abrir no Maps"))</f>
        <v/>
      </c>
    </row>
    <row r="336">
      <c r="A336" s="16">
        <f>IF(C336="","",TEXT(C336,"mmmm"))</f>
        <v/>
      </c>
      <c r="B336" s="16">
        <f>IF(C336="","","Semana "&amp;ROUNDUP(DAY(C336)/7,0))</f>
        <v/>
      </c>
      <c r="C336" s="34" t="n"/>
      <c r="D336" s="16">
        <f>IF(C336="","",TEXT(C336,"dddd"))</f>
        <v/>
      </c>
      <c r="E336" s="16" t="n"/>
      <c r="F336" s="16">
        <f>IF(G336&lt;&gt;"",IF(LEFT(UPPER(TRIM(G336)),1)="V","Drogaria Venancio",""),IF(H336&lt;&gt;"","Cristal",""))</f>
        <v/>
      </c>
      <c r="G336" s="16" t="n"/>
      <c r="H336" s="16" t="n"/>
      <c r="I336" s="16" t="n"/>
      <c r="J336" s="16" t="n"/>
      <c r="K336" s="16" t="n"/>
      <c r="L336" s="16" t="n"/>
      <c r="M336" s="35">
        <f>IF(I336="","",HYPERLINK("https://www.google.com/maps/search/?api=1&amp;query="&amp;SUBSTITUTE(I336&amp;", "&amp;J336&amp;", Rio de Janeiro"," ","+"),"Abrir no Maps"))</f>
        <v/>
      </c>
    </row>
    <row r="337">
      <c r="A337" s="20">
        <f>IF(C337="","",TEXT(C337,"mmmm"))</f>
        <v/>
      </c>
      <c r="B337" s="20">
        <f>IF(C337="","","Semana "&amp;ROUNDUP(DAY(C337)/7,0))</f>
        <v/>
      </c>
      <c r="C337" s="36" t="n"/>
      <c r="D337" s="20">
        <f>IF(C337="","",TEXT(C337,"dddd"))</f>
        <v/>
      </c>
      <c r="E337" s="20" t="n"/>
      <c r="F337" s="20">
        <f>IF(G337&lt;&gt;"",IF(LEFT(UPPER(TRIM(G337)),1)="V","Drogaria Venancio",""),IF(H337&lt;&gt;"","Cristal",""))</f>
        <v/>
      </c>
      <c r="G337" s="20" t="n"/>
      <c r="H337" s="20" t="n"/>
      <c r="I337" s="20" t="n"/>
      <c r="J337" s="20" t="n"/>
      <c r="K337" s="20" t="n"/>
      <c r="L337" s="20" t="n"/>
      <c r="M337" s="37">
        <f>IF(I337="","",HYPERLINK("https://www.google.com/maps/search/?api=1&amp;query="&amp;SUBSTITUTE(I337&amp;", "&amp;J337&amp;", Rio de Janeiro"," ","+"),"Abrir no Maps"))</f>
        <v/>
      </c>
    </row>
    <row r="338">
      <c r="A338" s="16">
        <f>IF(C338="","",TEXT(C338,"mmmm"))</f>
        <v/>
      </c>
      <c r="B338" s="16">
        <f>IF(C338="","","Semana "&amp;ROUNDUP(DAY(C338)/7,0))</f>
        <v/>
      </c>
      <c r="C338" s="34" t="n"/>
      <c r="D338" s="16">
        <f>IF(C338="","",TEXT(C338,"dddd"))</f>
        <v/>
      </c>
      <c r="E338" s="16" t="n"/>
      <c r="F338" s="16">
        <f>IF(G338&lt;&gt;"",IF(LEFT(UPPER(TRIM(G338)),1)="V","Drogaria Venancio",""),IF(H338&lt;&gt;"","Cristal",""))</f>
        <v/>
      </c>
      <c r="G338" s="16" t="n"/>
      <c r="H338" s="16" t="n"/>
      <c r="I338" s="16" t="n"/>
      <c r="J338" s="16" t="n"/>
      <c r="K338" s="16" t="n"/>
      <c r="L338" s="16" t="n"/>
      <c r="M338" s="35">
        <f>IF(I338="","",HYPERLINK("https://www.google.com/maps/search/?api=1&amp;query="&amp;SUBSTITUTE(I338&amp;", "&amp;J338&amp;", Rio de Janeiro"," ","+"),"Abrir no Maps"))</f>
        <v/>
      </c>
    </row>
    <row r="339">
      <c r="A339" s="20">
        <f>IF(C339="","",TEXT(C339,"mmmm"))</f>
        <v/>
      </c>
      <c r="B339" s="20">
        <f>IF(C339="","","Semana "&amp;ROUNDUP(DAY(C339)/7,0))</f>
        <v/>
      </c>
      <c r="C339" s="36" t="n"/>
      <c r="D339" s="20">
        <f>IF(C339="","",TEXT(C339,"dddd"))</f>
        <v/>
      </c>
      <c r="E339" s="20" t="n"/>
      <c r="F339" s="20">
        <f>IF(G339&lt;&gt;"",IF(LEFT(UPPER(TRIM(G339)),1)="V","Drogaria Venancio",""),IF(H339&lt;&gt;"","Cristal",""))</f>
        <v/>
      </c>
      <c r="G339" s="20" t="n"/>
      <c r="H339" s="20" t="n"/>
      <c r="I339" s="20" t="n"/>
      <c r="J339" s="20" t="n"/>
      <c r="K339" s="20" t="n"/>
      <c r="L339" s="20" t="n"/>
      <c r="M339" s="37">
        <f>IF(I339="","",HYPERLINK("https://www.google.com/maps/search/?api=1&amp;query="&amp;SUBSTITUTE(I339&amp;", "&amp;J339&amp;", Rio de Janeiro"," ","+"),"Abrir no Maps"))</f>
        <v/>
      </c>
    </row>
    <row r="340">
      <c r="A340" s="16">
        <f>IF(C340="","",TEXT(C340,"mmmm"))</f>
        <v/>
      </c>
      <c r="B340" s="16">
        <f>IF(C340="","","Semana "&amp;ROUNDUP(DAY(C340)/7,0))</f>
        <v/>
      </c>
      <c r="C340" s="34" t="n"/>
      <c r="D340" s="16">
        <f>IF(C340="","",TEXT(C340,"dddd"))</f>
        <v/>
      </c>
      <c r="E340" s="16" t="n"/>
      <c r="F340" s="16">
        <f>IF(G340&lt;&gt;"",IF(LEFT(UPPER(TRIM(G340)),1)="V","Drogaria Venancio",""),IF(H340&lt;&gt;"","Cristal",""))</f>
        <v/>
      </c>
      <c r="G340" s="16" t="n"/>
      <c r="H340" s="16" t="n"/>
      <c r="I340" s="16" t="n"/>
      <c r="J340" s="16" t="n"/>
      <c r="K340" s="16" t="n"/>
      <c r="L340" s="16" t="n"/>
      <c r="M340" s="35">
        <f>IF(I340="","",HYPERLINK("https://www.google.com/maps/search/?api=1&amp;query="&amp;SUBSTITUTE(I340&amp;", "&amp;J340&amp;", Rio de Janeiro"," ","+"),"Abrir no Maps"))</f>
        <v/>
      </c>
    </row>
    <row r="341">
      <c r="A341" s="20">
        <f>IF(C341="","",TEXT(C341,"mmmm"))</f>
        <v/>
      </c>
      <c r="B341" s="20">
        <f>IF(C341="","","Semana "&amp;ROUNDUP(DAY(C341)/7,0))</f>
        <v/>
      </c>
      <c r="C341" s="36" t="n"/>
      <c r="D341" s="20">
        <f>IF(C341="","",TEXT(C341,"dddd"))</f>
        <v/>
      </c>
      <c r="E341" s="20" t="n"/>
      <c r="F341" s="20">
        <f>IF(G341&lt;&gt;"",IF(LEFT(UPPER(TRIM(G341)),1)="V","Drogaria Venancio",""),IF(H341&lt;&gt;"","Cristal",""))</f>
        <v/>
      </c>
      <c r="G341" s="20" t="n"/>
      <c r="H341" s="20" t="n"/>
      <c r="I341" s="20" t="n"/>
      <c r="J341" s="20" t="n"/>
      <c r="K341" s="20" t="n"/>
      <c r="L341" s="20" t="n"/>
      <c r="M341" s="37">
        <f>IF(I341="","",HYPERLINK("https://www.google.com/maps/search/?api=1&amp;query="&amp;SUBSTITUTE(I341&amp;", "&amp;J341&amp;", Rio de Janeiro"," ","+"),"Abrir no Maps"))</f>
        <v/>
      </c>
    </row>
    <row r="342">
      <c r="A342" s="16">
        <f>IF(C342="","",TEXT(C342,"mmmm"))</f>
        <v/>
      </c>
      <c r="B342" s="16">
        <f>IF(C342="","","Semana "&amp;ROUNDUP(DAY(C342)/7,0))</f>
        <v/>
      </c>
      <c r="C342" s="34" t="n"/>
      <c r="D342" s="16">
        <f>IF(C342="","",TEXT(C342,"dddd"))</f>
        <v/>
      </c>
      <c r="E342" s="16" t="n"/>
      <c r="F342" s="16">
        <f>IF(G342&lt;&gt;"",IF(LEFT(UPPER(TRIM(G342)),1)="V","Drogaria Venancio",""),IF(H342&lt;&gt;"","Cristal",""))</f>
        <v/>
      </c>
      <c r="G342" s="16" t="n"/>
      <c r="H342" s="16" t="n"/>
      <c r="I342" s="16" t="n"/>
      <c r="J342" s="16" t="n"/>
      <c r="K342" s="16" t="n"/>
      <c r="L342" s="16" t="n"/>
      <c r="M342" s="35">
        <f>IF(I342="","",HYPERLINK("https://www.google.com/maps/search/?api=1&amp;query="&amp;SUBSTITUTE(I342&amp;", "&amp;J342&amp;", Rio de Janeiro"," ","+"),"Abrir no Maps"))</f>
        <v/>
      </c>
    </row>
    <row r="343">
      <c r="A343" s="20">
        <f>IF(C343="","",TEXT(C343,"mmmm"))</f>
        <v/>
      </c>
      <c r="B343" s="20">
        <f>IF(C343="","","Semana "&amp;ROUNDUP(DAY(C343)/7,0))</f>
        <v/>
      </c>
      <c r="C343" s="36" t="n"/>
      <c r="D343" s="20">
        <f>IF(C343="","",TEXT(C343,"dddd"))</f>
        <v/>
      </c>
      <c r="E343" s="20" t="n"/>
      <c r="F343" s="20">
        <f>IF(G343&lt;&gt;"",IF(LEFT(UPPER(TRIM(G343)),1)="V","Drogaria Venancio",""),IF(H343&lt;&gt;"","Cristal",""))</f>
        <v/>
      </c>
      <c r="G343" s="20" t="n"/>
      <c r="H343" s="20" t="n"/>
      <c r="I343" s="20" t="n"/>
      <c r="J343" s="20" t="n"/>
      <c r="K343" s="20" t="n"/>
      <c r="L343" s="20" t="n"/>
      <c r="M343" s="37">
        <f>IF(I343="","",HYPERLINK("https://www.google.com/maps/search/?api=1&amp;query="&amp;SUBSTITUTE(I343&amp;", "&amp;J343&amp;", Rio de Janeiro"," ","+"),"Abrir no Maps"))</f>
        <v/>
      </c>
    </row>
    <row r="344">
      <c r="A344" s="16">
        <f>IF(C344="","",TEXT(C344,"mmmm"))</f>
        <v/>
      </c>
      <c r="B344" s="16">
        <f>IF(C344="","","Semana "&amp;ROUNDUP(DAY(C344)/7,0))</f>
        <v/>
      </c>
      <c r="C344" s="34" t="n"/>
      <c r="D344" s="16">
        <f>IF(C344="","",TEXT(C344,"dddd"))</f>
        <v/>
      </c>
      <c r="E344" s="16" t="n"/>
      <c r="F344" s="16">
        <f>IF(G344&lt;&gt;"",IF(LEFT(UPPER(TRIM(G344)),1)="V","Drogaria Venancio",""),IF(H344&lt;&gt;"","Cristal",""))</f>
        <v/>
      </c>
      <c r="G344" s="16" t="n"/>
      <c r="H344" s="16" t="n"/>
      <c r="I344" s="16" t="n"/>
      <c r="J344" s="16" t="n"/>
      <c r="K344" s="16" t="n"/>
      <c r="L344" s="16" t="n"/>
      <c r="M344" s="35">
        <f>IF(I344="","",HYPERLINK("https://www.google.com/maps/search/?api=1&amp;query="&amp;SUBSTITUTE(I344&amp;", "&amp;J344&amp;", Rio de Janeiro"," ","+"),"Abrir no Maps"))</f>
        <v/>
      </c>
    </row>
    <row r="345">
      <c r="A345" s="20">
        <f>IF(C345="","",TEXT(C345,"mmmm"))</f>
        <v/>
      </c>
      <c r="B345" s="20">
        <f>IF(C345="","","Semana "&amp;ROUNDUP(DAY(C345)/7,0))</f>
        <v/>
      </c>
      <c r="C345" s="36" t="n"/>
      <c r="D345" s="20">
        <f>IF(C345="","",TEXT(C345,"dddd"))</f>
        <v/>
      </c>
      <c r="E345" s="20" t="n"/>
      <c r="F345" s="20">
        <f>IF(G345&lt;&gt;"",IF(LEFT(UPPER(TRIM(G345)),1)="V","Drogaria Venancio",""),IF(H345&lt;&gt;"","Cristal",""))</f>
        <v/>
      </c>
      <c r="G345" s="20" t="n"/>
      <c r="H345" s="20" t="n"/>
      <c r="I345" s="20" t="n"/>
      <c r="J345" s="20" t="n"/>
      <c r="K345" s="20" t="n"/>
      <c r="L345" s="20" t="n"/>
      <c r="M345" s="37">
        <f>IF(I345="","",HYPERLINK("https://www.google.com/maps/search/?api=1&amp;query="&amp;SUBSTITUTE(I345&amp;", "&amp;J345&amp;", Rio de Janeiro"," ","+"),"Abrir no Maps"))</f>
        <v/>
      </c>
    </row>
    <row r="346">
      <c r="A346" s="16">
        <f>IF(C346="","",TEXT(C346,"mmmm"))</f>
        <v/>
      </c>
      <c r="B346" s="16">
        <f>IF(C346="","","Semana "&amp;ROUNDUP(DAY(C346)/7,0))</f>
        <v/>
      </c>
      <c r="C346" s="34" t="n"/>
      <c r="D346" s="16">
        <f>IF(C346="","",TEXT(C346,"dddd"))</f>
        <v/>
      </c>
      <c r="E346" s="16" t="n"/>
      <c r="F346" s="16">
        <f>IF(G346&lt;&gt;"",IF(LEFT(UPPER(TRIM(G346)),1)="V","Drogaria Venancio",""),IF(H346&lt;&gt;"","Cristal",""))</f>
        <v/>
      </c>
      <c r="G346" s="16" t="n"/>
      <c r="H346" s="16" t="n"/>
      <c r="I346" s="16" t="n"/>
      <c r="J346" s="16" t="n"/>
      <c r="K346" s="16" t="n"/>
      <c r="L346" s="16" t="n"/>
      <c r="M346" s="35">
        <f>IF(I346="","",HYPERLINK("https://www.google.com/maps/search/?api=1&amp;query="&amp;SUBSTITUTE(I346&amp;", "&amp;J346&amp;", Rio de Janeiro"," ","+"),"Abrir no Maps"))</f>
        <v/>
      </c>
    </row>
    <row r="347">
      <c r="A347" s="20">
        <f>IF(C347="","",TEXT(C347,"mmmm"))</f>
        <v/>
      </c>
      <c r="B347" s="20">
        <f>IF(C347="","","Semana "&amp;ROUNDUP(DAY(C347)/7,0))</f>
        <v/>
      </c>
      <c r="C347" s="36" t="n"/>
      <c r="D347" s="20">
        <f>IF(C347="","",TEXT(C347,"dddd"))</f>
        <v/>
      </c>
      <c r="E347" s="20" t="n"/>
      <c r="F347" s="20">
        <f>IF(G347&lt;&gt;"",IF(LEFT(UPPER(TRIM(G347)),1)="V","Drogaria Venancio",""),IF(H347&lt;&gt;"","Cristal",""))</f>
        <v/>
      </c>
      <c r="G347" s="20" t="n"/>
      <c r="H347" s="20" t="n"/>
      <c r="I347" s="20" t="n"/>
      <c r="J347" s="20" t="n"/>
      <c r="K347" s="20" t="n"/>
      <c r="L347" s="20" t="n"/>
      <c r="M347" s="37">
        <f>IF(I347="","",HYPERLINK("https://www.google.com/maps/search/?api=1&amp;query="&amp;SUBSTITUTE(I347&amp;", "&amp;J347&amp;", Rio de Janeiro"," ","+"),"Abrir no Maps"))</f>
        <v/>
      </c>
    </row>
    <row r="348">
      <c r="A348" s="16">
        <f>IF(C348="","",TEXT(C348,"mmmm"))</f>
        <v/>
      </c>
      <c r="B348" s="16">
        <f>IF(C348="","","Semana "&amp;ROUNDUP(DAY(C348)/7,0))</f>
        <v/>
      </c>
      <c r="C348" s="34" t="n"/>
      <c r="D348" s="16">
        <f>IF(C348="","",TEXT(C348,"dddd"))</f>
        <v/>
      </c>
      <c r="E348" s="16" t="n"/>
      <c r="F348" s="16">
        <f>IF(G348&lt;&gt;"",IF(LEFT(UPPER(TRIM(G348)),1)="V","Drogaria Venancio",""),IF(H348&lt;&gt;"","Cristal",""))</f>
        <v/>
      </c>
      <c r="G348" s="16" t="n"/>
      <c r="H348" s="16" t="n"/>
      <c r="I348" s="16" t="n"/>
      <c r="J348" s="16" t="n"/>
      <c r="K348" s="16" t="n"/>
      <c r="L348" s="16" t="n"/>
      <c r="M348" s="35">
        <f>IF(I348="","",HYPERLINK("https://www.google.com/maps/search/?api=1&amp;query="&amp;SUBSTITUTE(I348&amp;", "&amp;J348&amp;", Rio de Janeiro"," ","+"),"Abrir no Maps"))</f>
        <v/>
      </c>
    </row>
    <row r="349">
      <c r="A349" s="20">
        <f>IF(C349="","",TEXT(C349,"mmmm"))</f>
        <v/>
      </c>
      <c r="B349" s="20">
        <f>IF(C349="","","Semana "&amp;ROUNDUP(DAY(C349)/7,0))</f>
        <v/>
      </c>
      <c r="C349" s="36" t="n"/>
      <c r="D349" s="20">
        <f>IF(C349="","",TEXT(C349,"dddd"))</f>
        <v/>
      </c>
      <c r="E349" s="20" t="n"/>
      <c r="F349" s="20">
        <f>IF(G349&lt;&gt;"",IF(LEFT(UPPER(TRIM(G349)),1)="V","Drogaria Venancio",""),IF(H349&lt;&gt;"","Cristal",""))</f>
        <v/>
      </c>
      <c r="G349" s="20" t="n"/>
      <c r="H349" s="20" t="n"/>
      <c r="I349" s="20" t="n"/>
      <c r="J349" s="20" t="n"/>
      <c r="K349" s="20" t="n"/>
      <c r="L349" s="20" t="n"/>
      <c r="M349" s="37">
        <f>IF(I349="","",HYPERLINK("https://www.google.com/maps/search/?api=1&amp;query="&amp;SUBSTITUTE(I349&amp;", "&amp;J349&amp;", Rio de Janeiro"," ","+"),"Abrir no Maps"))</f>
        <v/>
      </c>
    </row>
    <row r="350">
      <c r="A350" s="16">
        <f>IF(C350="","",TEXT(C350,"mmmm"))</f>
        <v/>
      </c>
      <c r="B350" s="16">
        <f>IF(C350="","","Semana "&amp;ROUNDUP(DAY(C350)/7,0))</f>
        <v/>
      </c>
      <c r="C350" s="34" t="n"/>
      <c r="D350" s="16">
        <f>IF(C350="","",TEXT(C350,"dddd"))</f>
        <v/>
      </c>
      <c r="E350" s="16" t="n"/>
      <c r="F350" s="16">
        <f>IF(G350&lt;&gt;"",IF(LEFT(UPPER(TRIM(G350)),1)="V","Drogaria Venancio",""),IF(H350&lt;&gt;"","Cristal",""))</f>
        <v/>
      </c>
      <c r="G350" s="16" t="n"/>
      <c r="H350" s="16" t="n"/>
      <c r="I350" s="16" t="n"/>
      <c r="J350" s="16" t="n"/>
      <c r="K350" s="16" t="n"/>
      <c r="L350" s="16" t="n"/>
      <c r="M350" s="35">
        <f>IF(I350="","",HYPERLINK("https://www.google.com/maps/search/?api=1&amp;query="&amp;SUBSTITUTE(I350&amp;", "&amp;J350&amp;", Rio de Janeiro"," ","+"),"Abrir no Maps"))</f>
        <v/>
      </c>
    </row>
    <row r="351">
      <c r="A351" s="20">
        <f>IF(C351="","",TEXT(C351,"mmmm"))</f>
        <v/>
      </c>
      <c r="B351" s="20">
        <f>IF(C351="","","Semana "&amp;ROUNDUP(DAY(C351)/7,0))</f>
        <v/>
      </c>
      <c r="C351" s="36" t="n"/>
      <c r="D351" s="20">
        <f>IF(C351="","",TEXT(C351,"dddd"))</f>
        <v/>
      </c>
      <c r="E351" s="20" t="n"/>
      <c r="F351" s="20">
        <f>IF(G351&lt;&gt;"",IF(LEFT(UPPER(TRIM(G351)),1)="V","Drogaria Venancio",""),IF(H351&lt;&gt;"","Cristal",""))</f>
        <v/>
      </c>
      <c r="G351" s="20" t="n"/>
      <c r="H351" s="20" t="n"/>
      <c r="I351" s="20" t="n"/>
      <c r="J351" s="20" t="n"/>
      <c r="K351" s="20" t="n"/>
      <c r="L351" s="20" t="n"/>
      <c r="M351" s="37">
        <f>IF(I351="","",HYPERLINK("https://www.google.com/maps/search/?api=1&amp;query="&amp;SUBSTITUTE(I351&amp;", "&amp;J351&amp;", Rio de Janeiro"," ","+"),"Abrir no Maps"))</f>
        <v/>
      </c>
    </row>
    <row r="352">
      <c r="A352" s="16">
        <f>IF(C352="","",TEXT(C352,"mmmm"))</f>
        <v/>
      </c>
      <c r="B352" s="16">
        <f>IF(C352="","","Semana "&amp;ROUNDUP(DAY(C352)/7,0))</f>
        <v/>
      </c>
      <c r="C352" s="34" t="n"/>
      <c r="D352" s="16">
        <f>IF(C352="","",TEXT(C352,"dddd"))</f>
        <v/>
      </c>
      <c r="E352" s="16" t="n"/>
      <c r="F352" s="16">
        <f>IF(G352&lt;&gt;"",IF(LEFT(UPPER(TRIM(G352)),1)="V","Drogaria Venancio",""),IF(H352&lt;&gt;"","Cristal",""))</f>
        <v/>
      </c>
      <c r="G352" s="16" t="n"/>
      <c r="H352" s="16" t="n"/>
      <c r="I352" s="16" t="n"/>
      <c r="J352" s="16" t="n"/>
      <c r="K352" s="16" t="n"/>
      <c r="L352" s="16" t="n"/>
      <c r="M352" s="35">
        <f>IF(I352="","",HYPERLINK("https://www.google.com/maps/search/?api=1&amp;query="&amp;SUBSTITUTE(I352&amp;", "&amp;J352&amp;", Rio de Janeiro"," ","+"),"Abrir no Maps"))</f>
        <v/>
      </c>
    </row>
    <row r="353">
      <c r="A353" s="20">
        <f>IF(C353="","",TEXT(C353,"mmmm"))</f>
        <v/>
      </c>
      <c r="B353" s="20">
        <f>IF(C353="","","Semana "&amp;ROUNDUP(DAY(C353)/7,0))</f>
        <v/>
      </c>
      <c r="C353" s="36" t="n"/>
      <c r="D353" s="20">
        <f>IF(C353="","",TEXT(C353,"dddd"))</f>
        <v/>
      </c>
      <c r="E353" s="20" t="n"/>
      <c r="F353" s="20">
        <f>IF(G353&lt;&gt;"",IF(LEFT(UPPER(TRIM(G353)),1)="V","Drogaria Venancio",""),IF(H353&lt;&gt;"","Cristal",""))</f>
        <v/>
      </c>
      <c r="G353" s="20" t="n"/>
      <c r="H353" s="20" t="n"/>
      <c r="I353" s="20" t="n"/>
      <c r="J353" s="20" t="n"/>
      <c r="K353" s="20" t="n"/>
      <c r="L353" s="20" t="n"/>
      <c r="M353" s="37">
        <f>IF(I353="","",HYPERLINK("https://www.google.com/maps/search/?api=1&amp;query="&amp;SUBSTITUTE(I353&amp;", "&amp;J353&amp;", Rio de Janeiro"," ","+"),"Abrir no Maps"))</f>
        <v/>
      </c>
    </row>
    <row r="354">
      <c r="A354" s="16">
        <f>IF(C354="","",TEXT(C354,"mmmm"))</f>
        <v/>
      </c>
      <c r="B354" s="16">
        <f>IF(C354="","","Semana "&amp;ROUNDUP(DAY(C354)/7,0))</f>
        <v/>
      </c>
      <c r="C354" s="34" t="n"/>
      <c r="D354" s="16">
        <f>IF(C354="","",TEXT(C354,"dddd"))</f>
        <v/>
      </c>
      <c r="E354" s="16" t="n"/>
      <c r="F354" s="16">
        <f>IF(G354&lt;&gt;"",IF(LEFT(UPPER(TRIM(G354)),1)="V","Drogaria Venancio",""),IF(H354&lt;&gt;"","Cristal",""))</f>
        <v/>
      </c>
      <c r="G354" s="16" t="n"/>
      <c r="H354" s="16" t="n"/>
      <c r="I354" s="16" t="n"/>
      <c r="J354" s="16" t="n"/>
      <c r="K354" s="16" t="n"/>
      <c r="L354" s="16" t="n"/>
      <c r="M354" s="35">
        <f>IF(I354="","",HYPERLINK("https://www.google.com/maps/search/?api=1&amp;query="&amp;SUBSTITUTE(I354&amp;", "&amp;J354&amp;", Rio de Janeiro"," ","+"),"Abrir no Maps"))</f>
        <v/>
      </c>
    </row>
    <row r="355">
      <c r="A355" s="20">
        <f>IF(C355="","",TEXT(C355,"mmmm"))</f>
        <v/>
      </c>
      <c r="B355" s="20">
        <f>IF(C355="","","Semana "&amp;ROUNDUP(DAY(C355)/7,0))</f>
        <v/>
      </c>
      <c r="C355" s="36" t="n"/>
      <c r="D355" s="20">
        <f>IF(C355="","",TEXT(C355,"dddd"))</f>
        <v/>
      </c>
      <c r="E355" s="20" t="n"/>
      <c r="F355" s="20">
        <f>IF(G355&lt;&gt;"",IF(LEFT(UPPER(TRIM(G355)),1)="V","Drogaria Venancio",""),IF(H355&lt;&gt;"","Cristal",""))</f>
        <v/>
      </c>
      <c r="G355" s="20" t="n"/>
      <c r="H355" s="20" t="n"/>
      <c r="I355" s="20" t="n"/>
      <c r="J355" s="20" t="n"/>
      <c r="K355" s="20" t="n"/>
      <c r="L355" s="20" t="n"/>
      <c r="M355" s="37">
        <f>IF(I355="","",HYPERLINK("https://www.google.com/maps/search/?api=1&amp;query="&amp;SUBSTITUTE(I355&amp;", "&amp;J355&amp;", Rio de Janeiro"," ","+"),"Abrir no Maps"))</f>
        <v/>
      </c>
    </row>
    <row r="356">
      <c r="A356" s="16">
        <f>IF(C356="","",TEXT(C356,"mmmm"))</f>
        <v/>
      </c>
      <c r="B356" s="16">
        <f>IF(C356="","","Semana "&amp;ROUNDUP(DAY(C356)/7,0))</f>
        <v/>
      </c>
      <c r="C356" s="34" t="n"/>
      <c r="D356" s="16">
        <f>IF(C356="","",TEXT(C356,"dddd"))</f>
        <v/>
      </c>
      <c r="E356" s="16" t="n"/>
      <c r="F356" s="16">
        <f>IF(G356&lt;&gt;"",IF(LEFT(UPPER(TRIM(G356)),1)="V","Drogaria Venancio",""),IF(H356&lt;&gt;"","Cristal",""))</f>
        <v/>
      </c>
      <c r="G356" s="16" t="n"/>
      <c r="H356" s="16" t="n"/>
      <c r="I356" s="16" t="n"/>
      <c r="J356" s="16" t="n"/>
      <c r="K356" s="16" t="n"/>
      <c r="L356" s="16" t="n"/>
      <c r="M356" s="35">
        <f>IF(I356="","",HYPERLINK("https://www.google.com/maps/search/?api=1&amp;query="&amp;SUBSTITUTE(I356&amp;", "&amp;J356&amp;", Rio de Janeiro"," ","+"),"Abrir no Maps"))</f>
        <v/>
      </c>
    </row>
    <row r="357">
      <c r="A357" s="20">
        <f>IF(C357="","",TEXT(C357,"mmmm"))</f>
        <v/>
      </c>
      <c r="B357" s="20">
        <f>IF(C357="","","Semana "&amp;ROUNDUP(DAY(C357)/7,0))</f>
        <v/>
      </c>
      <c r="C357" s="36" t="n"/>
      <c r="D357" s="20">
        <f>IF(C357="","",TEXT(C357,"dddd"))</f>
        <v/>
      </c>
      <c r="E357" s="20" t="n"/>
      <c r="F357" s="20">
        <f>IF(G357&lt;&gt;"",IF(LEFT(UPPER(TRIM(G357)),1)="V","Drogaria Venancio",""),IF(H357&lt;&gt;"","Cristal",""))</f>
        <v/>
      </c>
      <c r="G357" s="20" t="n"/>
      <c r="H357" s="20" t="n"/>
      <c r="I357" s="20" t="n"/>
      <c r="J357" s="20" t="n"/>
      <c r="K357" s="20" t="n"/>
      <c r="L357" s="20" t="n"/>
      <c r="M357" s="37">
        <f>IF(I357="","",HYPERLINK("https://www.google.com/maps/search/?api=1&amp;query="&amp;SUBSTITUTE(I357&amp;", "&amp;J357&amp;", Rio de Janeiro"," ","+"),"Abrir no Maps"))</f>
        <v/>
      </c>
    </row>
    <row r="358">
      <c r="A358" s="16">
        <f>IF(C358="","",TEXT(C358,"mmmm"))</f>
        <v/>
      </c>
      <c r="B358" s="16">
        <f>IF(C358="","","Semana "&amp;ROUNDUP(DAY(C358)/7,0))</f>
        <v/>
      </c>
      <c r="C358" s="34" t="n"/>
      <c r="D358" s="16">
        <f>IF(C358="","",TEXT(C358,"dddd"))</f>
        <v/>
      </c>
      <c r="E358" s="16" t="n"/>
      <c r="F358" s="16">
        <f>IF(G358&lt;&gt;"",IF(LEFT(UPPER(TRIM(G358)),1)="V","Drogaria Venancio",""),IF(H358&lt;&gt;"","Cristal",""))</f>
        <v/>
      </c>
      <c r="G358" s="16" t="n"/>
      <c r="H358" s="16" t="n"/>
      <c r="I358" s="16" t="n"/>
      <c r="J358" s="16" t="n"/>
      <c r="K358" s="16" t="n"/>
      <c r="L358" s="16" t="n"/>
      <c r="M358" s="35">
        <f>IF(I358="","",HYPERLINK("https://www.google.com/maps/search/?api=1&amp;query="&amp;SUBSTITUTE(I358&amp;", "&amp;J358&amp;", Rio de Janeiro"," ","+"),"Abrir no Maps"))</f>
        <v/>
      </c>
    </row>
    <row r="359">
      <c r="A359" s="20">
        <f>IF(C359="","",TEXT(C359,"mmmm"))</f>
        <v/>
      </c>
      <c r="B359" s="20">
        <f>IF(C359="","","Semana "&amp;ROUNDUP(DAY(C359)/7,0))</f>
        <v/>
      </c>
      <c r="C359" s="36" t="n"/>
      <c r="D359" s="20">
        <f>IF(C359="","",TEXT(C359,"dddd"))</f>
        <v/>
      </c>
      <c r="E359" s="20" t="n"/>
      <c r="F359" s="20">
        <f>IF(G359&lt;&gt;"",IF(LEFT(UPPER(TRIM(G359)),1)="V","Drogaria Venancio",""),IF(H359&lt;&gt;"","Cristal",""))</f>
        <v/>
      </c>
      <c r="G359" s="20" t="n"/>
      <c r="H359" s="20" t="n"/>
      <c r="I359" s="20" t="n"/>
      <c r="J359" s="20" t="n"/>
      <c r="K359" s="20" t="n"/>
      <c r="L359" s="20" t="n"/>
      <c r="M359" s="37">
        <f>IF(I359="","",HYPERLINK("https://www.google.com/maps/search/?api=1&amp;query="&amp;SUBSTITUTE(I359&amp;", "&amp;J359&amp;", Rio de Janeiro"," ","+"),"Abrir no Maps"))</f>
        <v/>
      </c>
    </row>
    <row r="360">
      <c r="A360" s="16">
        <f>IF(C360="","",TEXT(C360,"mmmm"))</f>
        <v/>
      </c>
      <c r="B360" s="16">
        <f>IF(C360="","","Semana "&amp;ROUNDUP(DAY(C360)/7,0))</f>
        <v/>
      </c>
      <c r="C360" s="34" t="n"/>
      <c r="D360" s="16">
        <f>IF(C360="","",TEXT(C360,"dddd"))</f>
        <v/>
      </c>
      <c r="E360" s="16" t="n"/>
      <c r="F360" s="16">
        <f>IF(G360&lt;&gt;"",IF(LEFT(UPPER(TRIM(G360)),1)="V","Drogaria Venancio",""),IF(H360&lt;&gt;"","Cristal",""))</f>
        <v/>
      </c>
      <c r="G360" s="16" t="n"/>
      <c r="H360" s="16" t="n"/>
      <c r="I360" s="16" t="n"/>
      <c r="J360" s="16" t="n"/>
      <c r="K360" s="16" t="n"/>
      <c r="L360" s="16" t="n"/>
      <c r="M360" s="35">
        <f>IF(I360="","",HYPERLINK("https://www.google.com/maps/search/?api=1&amp;query="&amp;SUBSTITUTE(I360&amp;", "&amp;J360&amp;", Rio de Janeiro"," ","+"),"Abrir no Maps"))</f>
        <v/>
      </c>
    </row>
    <row r="361">
      <c r="A361" s="20">
        <f>IF(C361="","",TEXT(C361,"mmmm"))</f>
        <v/>
      </c>
      <c r="B361" s="20">
        <f>IF(C361="","","Semana "&amp;ROUNDUP(DAY(C361)/7,0))</f>
        <v/>
      </c>
      <c r="C361" s="36" t="n"/>
      <c r="D361" s="20">
        <f>IF(C361="","",TEXT(C361,"dddd"))</f>
        <v/>
      </c>
      <c r="E361" s="20" t="n"/>
      <c r="F361" s="20">
        <f>IF(G361&lt;&gt;"",IF(LEFT(UPPER(TRIM(G361)),1)="V","Drogaria Venancio",""),IF(H361&lt;&gt;"","Cristal",""))</f>
        <v/>
      </c>
      <c r="G361" s="20" t="n"/>
      <c r="H361" s="20" t="n"/>
      <c r="I361" s="20" t="n"/>
      <c r="J361" s="20" t="n"/>
      <c r="K361" s="20" t="n"/>
      <c r="L361" s="20" t="n"/>
      <c r="M361" s="37">
        <f>IF(I361="","",HYPERLINK("https://www.google.com/maps/search/?api=1&amp;query="&amp;SUBSTITUTE(I361&amp;", "&amp;J361&amp;", Rio de Janeiro"," ","+"),"Abrir no Maps"))</f>
        <v/>
      </c>
    </row>
    <row r="362">
      <c r="A362" s="16">
        <f>IF(C362="","",TEXT(C362,"mmmm"))</f>
        <v/>
      </c>
      <c r="B362" s="16">
        <f>IF(C362="","","Semana "&amp;ROUNDUP(DAY(C362)/7,0))</f>
        <v/>
      </c>
      <c r="C362" s="34" t="n"/>
      <c r="D362" s="16">
        <f>IF(C362="","",TEXT(C362,"dddd"))</f>
        <v/>
      </c>
      <c r="E362" s="16" t="n"/>
      <c r="F362" s="16">
        <f>IF(G362&lt;&gt;"",IF(LEFT(UPPER(TRIM(G362)),1)="V","Drogaria Venancio",""),IF(H362&lt;&gt;"","Cristal",""))</f>
        <v/>
      </c>
      <c r="G362" s="16" t="n"/>
      <c r="H362" s="16" t="n"/>
      <c r="I362" s="16" t="n"/>
      <c r="J362" s="16" t="n"/>
      <c r="K362" s="16" t="n"/>
      <c r="L362" s="16" t="n"/>
      <c r="M362" s="35">
        <f>IF(I362="","",HYPERLINK("https://www.google.com/maps/search/?api=1&amp;query="&amp;SUBSTITUTE(I362&amp;", "&amp;J362&amp;", Rio de Janeiro"," ","+"),"Abrir no Maps"))</f>
        <v/>
      </c>
    </row>
    <row r="363">
      <c r="A363" s="20">
        <f>IF(C363="","",TEXT(C363,"mmmm"))</f>
        <v/>
      </c>
      <c r="B363" s="20">
        <f>IF(C363="","","Semana "&amp;ROUNDUP(DAY(C363)/7,0))</f>
        <v/>
      </c>
      <c r="C363" s="36" t="n"/>
      <c r="D363" s="20">
        <f>IF(C363="","",TEXT(C363,"dddd"))</f>
        <v/>
      </c>
      <c r="E363" s="20" t="n"/>
      <c r="F363" s="20">
        <f>IF(G363&lt;&gt;"",IF(LEFT(UPPER(TRIM(G363)),1)="V","Drogaria Venancio",""),IF(H363&lt;&gt;"","Cristal",""))</f>
        <v/>
      </c>
      <c r="G363" s="20" t="n"/>
      <c r="H363" s="20" t="n"/>
      <c r="I363" s="20" t="n"/>
      <c r="J363" s="20" t="n"/>
      <c r="K363" s="20" t="n"/>
      <c r="L363" s="20" t="n"/>
      <c r="M363" s="37">
        <f>IF(I363="","",HYPERLINK("https://www.google.com/maps/search/?api=1&amp;query="&amp;SUBSTITUTE(I363&amp;", "&amp;J363&amp;", Rio de Janeiro"," ","+"),"Abrir no Maps"))</f>
        <v/>
      </c>
    </row>
    <row r="364">
      <c r="A364" s="16">
        <f>IF(C364="","",TEXT(C364,"mmmm"))</f>
        <v/>
      </c>
      <c r="B364" s="16">
        <f>IF(C364="","","Semana "&amp;ROUNDUP(DAY(C364)/7,0))</f>
        <v/>
      </c>
      <c r="C364" s="34" t="n"/>
      <c r="D364" s="16">
        <f>IF(C364="","",TEXT(C364,"dddd"))</f>
        <v/>
      </c>
      <c r="E364" s="16" t="n"/>
      <c r="F364" s="16">
        <f>IF(G364&lt;&gt;"",IF(LEFT(UPPER(TRIM(G364)),1)="V","Drogaria Venancio",""),IF(H364&lt;&gt;"","Cristal",""))</f>
        <v/>
      </c>
      <c r="G364" s="16" t="n"/>
      <c r="H364" s="16" t="n"/>
      <c r="I364" s="16" t="n"/>
      <c r="J364" s="16" t="n"/>
      <c r="K364" s="16" t="n"/>
      <c r="L364" s="16" t="n"/>
      <c r="M364" s="35">
        <f>IF(I364="","",HYPERLINK("https://www.google.com/maps/search/?api=1&amp;query="&amp;SUBSTITUTE(I364&amp;", "&amp;J364&amp;", Rio de Janeiro"," ","+"),"Abrir no Maps"))</f>
        <v/>
      </c>
    </row>
    <row r="365">
      <c r="A365" s="20">
        <f>IF(C365="","",TEXT(C365,"mmmm"))</f>
        <v/>
      </c>
      <c r="B365" s="20">
        <f>IF(C365="","","Semana "&amp;ROUNDUP(DAY(C365)/7,0))</f>
        <v/>
      </c>
      <c r="C365" s="36" t="n"/>
      <c r="D365" s="20">
        <f>IF(C365="","",TEXT(C365,"dddd"))</f>
        <v/>
      </c>
      <c r="E365" s="20" t="n"/>
      <c r="F365" s="20">
        <f>IF(G365&lt;&gt;"",IF(LEFT(UPPER(TRIM(G365)),1)="V","Drogaria Venancio",""),IF(H365&lt;&gt;"","Cristal",""))</f>
        <v/>
      </c>
      <c r="G365" s="20" t="n"/>
      <c r="H365" s="20" t="n"/>
      <c r="I365" s="20" t="n"/>
      <c r="J365" s="20" t="n"/>
      <c r="K365" s="20" t="n"/>
      <c r="L365" s="20" t="n"/>
      <c r="M365" s="37">
        <f>IF(I365="","",HYPERLINK("https://www.google.com/maps/search/?api=1&amp;query="&amp;SUBSTITUTE(I365&amp;", "&amp;J365&amp;", Rio de Janeiro"," ","+"),"Abrir no Maps"))</f>
        <v/>
      </c>
    </row>
    <row r="366">
      <c r="A366" s="16">
        <f>IF(C366="","",TEXT(C366,"mmmm"))</f>
        <v/>
      </c>
      <c r="B366" s="16">
        <f>IF(C366="","","Semana "&amp;ROUNDUP(DAY(C366)/7,0))</f>
        <v/>
      </c>
      <c r="C366" s="34" t="n"/>
      <c r="D366" s="16">
        <f>IF(C366="","",TEXT(C366,"dddd"))</f>
        <v/>
      </c>
      <c r="E366" s="16" t="n"/>
      <c r="F366" s="16">
        <f>IF(G366&lt;&gt;"",IF(LEFT(UPPER(TRIM(G366)),1)="V","Drogaria Venancio",""),IF(H366&lt;&gt;"","Cristal",""))</f>
        <v/>
      </c>
      <c r="G366" s="16" t="n"/>
      <c r="H366" s="16" t="n"/>
      <c r="I366" s="16" t="n"/>
      <c r="J366" s="16" t="n"/>
      <c r="K366" s="16" t="n"/>
      <c r="L366" s="16" t="n"/>
      <c r="M366" s="35">
        <f>IF(I366="","",HYPERLINK("https://www.google.com/maps/search/?api=1&amp;query="&amp;SUBSTITUTE(I366&amp;", "&amp;J366&amp;", Rio de Janeiro"," ","+"),"Abrir no Maps"))</f>
        <v/>
      </c>
    </row>
    <row r="367">
      <c r="A367" s="20">
        <f>IF(C367="","",TEXT(C367,"mmmm"))</f>
        <v/>
      </c>
      <c r="B367" s="20">
        <f>IF(C367="","","Semana "&amp;ROUNDUP(DAY(C367)/7,0))</f>
        <v/>
      </c>
      <c r="C367" s="36" t="n"/>
      <c r="D367" s="20">
        <f>IF(C367="","",TEXT(C367,"dddd"))</f>
        <v/>
      </c>
      <c r="E367" s="20" t="n"/>
      <c r="F367" s="20">
        <f>IF(G367&lt;&gt;"",IF(LEFT(UPPER(TRIM(G367)),1)="V","Drogaria Venancio",""),IF(H367&lt;&gt;"","Cristal",""))</f>
        <v/>
      </c>
      <c r="G367" s="20" t="n"/>
      <c r="H367" s="20" t="n"/>
      <c r="I367" s="20" t="n"/>
      <c r="J367" s="20" t="n"/>
      <c r="K367" s="20" t="n"/>
      <c r="L367" s="20" t="n"/>
      <c r="M367" s="37">
        <f>IF(I367="","",HYPERLINK("https://www.google.com/maps/search/?api=1&amp;query="&amp;SUBSTITUTE(I367&amp;", "&amp;J367&amp;", Rio de Janeiro"," ","+"),"Abrir no Maps"))</f>
        <v/>
      </c>
    </row>
    <row r="368">
      <c r="A368" s="16">
        <f>IF(C368="","",TEXT(C368,"mmmm"))</f>
        <v/>
      </c>
      <c r="B368" s="16">
        <f>IF(C368="","","Semana "&amp;ROUNDUP(DAY(C368)/7,0))</f>
        <v/>
      </c>
      <c r="C368" s="34" t="n"/>
      <c r="D368" s="16">
        <f>IF(C368="","",TEXT(C368,"dddd"))</f>
        <v/>
      </c>
      <c r="E368" s="16" t="n"/>
      <c r="F368" s="16">
        <f>IF(G368&lt;&gt;"",IF(LEFT(UPPER(TRIM(G368)),1)="V","Drogaria Venancio",""),IF(H368&lt;&gt;"","Cristal",""))</f>
        <v/>
      </c>
      <c r="G368" s="16" t="n"/>
      <c r="H368" s="16" t="n"/>
      <c r="I368" s="16" t="n"/>
      <c r="J368" s="16" t="n"/>
      <c r="K368" s="16" t="n"/>
      <c r="L368" s="16" t="n"/>
      <c r="M368" s="35">
        <f>IF(I368="","",HYPERLINK("https://www.google.com/maps/search/?api=1&amp;query="&amp;SUBSTITUTE(I368&amp;", "&amp;J368&amp;", Rio de Janeiro"," ","+"),"Abrir no Maps"))</f>
        <v/>
      </c>
    </row>
    <row r="369">
      <c r="A369" s="20">
        <f>IF(C369="","",TEXT(C369,"mmmm"))</f>
        <v/>
      </c>
      <c r="B369" s="20">
        <f>IF(C369="","","Semana "&amp;ROUNDUP(DAY(C369)/7,0))</f>
        <v/>
      </c>
      <c r="C369" s="36" t="n"/>
      <c r="D369" s="20">
        <f>IF(C369="","",TEXT(C369,"dddd"))</f>
        <v/>
      </c>
      <c r="E369" s="20" t="n"/>
      <c r="F369" s="20">
        <f>IF(G369&lt;&gt;"",IF(LEFT(UPPER(TRIM(G369)),1)="V","Drogaria Venancio",""),IF(H369&lt;&gt;"","Cristal",""))</f>
        <v/>
      </c>
      <c r="G369" s="20" t="n"/>
      <c r="H369" s="20" t="n"/>
      <c r="I369" s="20" t="n"/>
      <c r="J369" s="20" t="n"/>
      <c r="K369" s="20" t="n"/>
      <c r="L369" s="20" t="n"/>
      <c r="M369" s="37">
        <f>IF(I369="","",HYPERLINK("https://www.google.com/maps/search/?api=1&amp;query="&amp;SUBSTITUTE(I369&amp;", "&amp;J369&amp;", Rio de Janeiro"," ","+"),"Abrir no Maps"))</f>
        <v/>
      </c>
    </row>
    <row r="370">
      <c r="A370" s="16">
        <f>IF(C370="","",TEXT(C370,"mmmm"))</f>
        <v/>
      </c>
      <c r="B370" s="16">
        <f>IF(C370="","","Semana "&amp;ROUNDUP(DAY(C370)/7,0))</f>
        <v/>
      </c>
      <c r="C370" s="34" t="n"/>
      <c r="D370" s="16">
        <f>IF(C370="","",TEXT(C370,"dddd"))</f>
        <v/>
      </c>
      <c r="E370" s="16" t="n"/>
      <c r="F370" s="16">
        <f>IF(G370&lt;&gt;"",IF(LEFT(UPPER(TRIM(G370)),1)="V","Drogaria Venancio",""),IF(H370&lt;&gt;"","Cristal",""))</f>
        <v/>
      </c>
      <c r="G370" s="16" t="n"/>
      <c r="H370" s="16" t="n"/>
      <c r="I370" s="16" t="n"/>
      <c r="J370" s="16" t="n"/>
      <c r="K370" s="16" t="n"/>
      <c r="L370" s="16" t="n"/>
      <c r="M370" s="35">
        <f>IF(I370="","",HYPERLINK("https://www.google.com/maps/search/?api=1&amp;query="&amp;SUBSTITUTE(I370&amp;", "&amp;J370&amp;", Rio de Janeiro"," ","+"),"Abrir no Maps"))</f>
        <v/>
      </c>
    </row>
    <row r="371">
      <c r="A371" s="20">
        <f>IF(C371="","",TEXT(C371,"mmmm"))</f>
        <v/>
      </c>
      <c r="B371" s="20">
        <f>IF(C371="","","Semana "&amp;ROUNDUP(DAY(C371)/7,0))</f>
        <v/>
      </c>
      <c r="C371" s="36" t="n"/>
      <c r="D371" s="20">
        <f>IF(C371="","",TEXT(C371,"dddd"))</f>
        <v/>
      </c>
      <c r="E371" s="20" t="n"/>
      <c r="F371" s="20">
        <f>IF(G371&lt;&gt;"",IF(LEFT(UPPER(TRIM(G371)),1)="V","Drogaria Venancio",""),IF(H371&lt;&gt;"","Cristal",""))</f>
        <v/>
      </c>
      <c r="G371" s="20" t="n"/>
      <c r="H371" s="20" t="n"/>
      <c r="I371" s="20" t="n"/>
      <c r="J371" s="20" t="n"/>
      <c r="K371" s="20" t="n"/>
      <c r="L371" s="20" t="n"/>
      <c r="M371" s="37">
        <f>IF(I371="","",HYPERLINK("https://www.google.com/maps/search/?api=1&amp;query="&amp;SUBSTITUTE(I371&amp;", "&amp;J371&amp;", Rio de Janeiro"," ","+"),"Abrir no Maps"))</f>
        <v/>
      </c>
    </row>
    <row r="372">
      <c r="A372" s="16">
        <f>IF(C372="","",TEXT(C372,"mmmm"))</f>
        <v/>
      </c>
      <c r="B372" s="16">
        <f>IF(C372="","","Semana "&amp;ROUNDUP(DAY(C372)/7,0))</f>
        <v/>
      </c>
      <c r="C372" s="34" t="n"/>
      <c r="D372" s="16">
        <f>IF(C372="","",TEXT(C372,"dddd"))</f>
        <v/>
      </c>
      <c r="E372" s="16" t="n"/>
      <c r="F372" s="16">
        <f>IF(G372&lt;&gt;"",IF(LEFT(UPPER(TRIM(G372)),1)="V","Drogaria Venancio",""),IF(H372&lt;&gt;"","Cristal",""))</f>
        <v/>
      </c>
      <c r="G372" s="16" t="n"/>
      <c r="H372" s="16" t="n"/>
      <c r="I372" s="16" t="n"/>
      <c r="J372" s="16" t="n"/>
      <c r="K372" s="16" t="n"/>
      <c r="L372" s="16" t="n"/>
      <c r="M372" s="35">
        <f>IF(I372="","",HYPERLINK("https://www.google.com/maps/search/?api=1&amp;query="&amp;SUBSTITUTE(I372&amp;", "&amp;J372&amp;", Rio de Janeiro"," ","+"),"Abrir no Maps"))</f>
        <v/>
      </c>
    </row>
    <row r="373">
      <c r="A373" s="20">
        <f>IF(C373="","",TEXT(C373,"mmmm"))</f>
        <v/>
      </c>
      <c r="B373" s="20">
        <f>IF(C373="","","Semana "&amp;ROUNDUP(DAY(C373)/7,0))</f>
        <v/>
      </c>
      <c r="C373" s="36" t="n"/>
      <c r="D373" s="20">
        <f>IF(C373="","",TEXT(C373,"dddd"))</f>
        <v/>
      </c>
      <c r="E373" s="20" t="n"/>
      <c r="F373" s="20">
        <f>IF(G373&lt;&gt;"",IF(LEFT(UPPER(TRIM(G373)),1)="V","Drogaria Venancio",""),IF(H373&lt;&gt;"","Cristal",""))</f>
        <v/>
      </c>
      <c r="G373" s="20" t="n"/>
      <c r="H373" s="20" t="n"/>
      <c r="I373" s="20" t="n"/>
      <c r="J373" s="20" t="n"/>
      <c r="K373" s="20" t="n"/>
      <c r="L373" s="20" t="n"/>
      <c r="M373" s="37">
        <f>IF(I373="","",HYPERLINK("https://www.google.com/maps/search/?api=1&amp;query="&amp;SUBSTITUTE(I373&amp;", "&amp;J373&amp;", Rio de Janeiro"," ","+"),"Abrir no Maps"))</f>
        <v/>
      </c>
    </row>
    <row r="374">
      <c r="A374" s="16">
        <f>IF(C374="","",TEXT(C374,"mmmm"))</f>
        <v/>
      </c>
      <c r="B374" s="16">
        <f>IF(C374="","","Semana "&amp;ROUNDUP(DAY(C374)/7,0))</f>
        <v/>
      </c>
      <c r="C374" s="34" t="n"/>
      <c r="D374" s="16">
        <f>IF(C374="","",TEXT(C374,"dddd"))</f>
        <v/>
      </c>
      <c r="E374" s="16" t="n"/>
      <c r="F374" s="16">
        <f>IF(G374&lt;&gt;"",IF(LEFT(UPPER(TRIM(G374)),1)="V","Drogaria Venancio",""),IF(H374&lt;&gt;"","Cristal",""))</f>
        <v/>
      </c>
      <c r="G374" s="16" t="n"/>
      <c r="H374" s="16" t="n"/>
      <c r="I374" s="16" t="n"/>
      <c r="J374" s="16" t="n"/>
      <c r="K374" s="16" t="n"/>
      <c r="L374" s="16" t="n"/>
      <c r="M374" s="35">
        <f>IF(I374="","",HYPERLINK("https://www.google.com/maps/search/?api=1&amp;query="&amp;SUBSTITUTE(I374&amp;", "&amp;J374&amp;", Rio de Janeiro"," ","+"),"Abrir no Maps"))</f>
        <v/>
      </c>
    </row>
    <row r="375">
      <c r="A375" s="20">
        <f>IF(C375="","",TEXT(C375,"mmmm"))</f>
        <v/>
      </c>
      <c r="B375" s="20">
        <f>IF(C375="","","Semana "&amp;ROUNDUP(DAY(C375)/7,0))</f>
        <v/>
      </c>
      <c r="C375" s="36" t="n"/>
      <c r="D375" s="20">
        <f>IF(C375="","",TEXT(C375,"dddd"))</f>
        <v/>
      </c>
      <c r="E375" s="20" t="n"/>
      <c r="F375" s="20">
        <f>IF(G375&lt;&gt;"",IF(LEFT(UPPER(TRIM(G375)),1)="V","Drogaria Venancio",""),IF(H375&lt;&gt;"","Cristal",""))</f>
        <v/>
      </c>
      <c r="G375" s="20" t="n"/>
      <c r="H375" s="20" t="n"/>
      <c r="I375" s="20" t="n"/>
      <c r="J375" s="20" t="n"/>
      <c r="K375" s="20" t="n"/>
      <c r="L375" s="20" t="n"/>
      <c r="M375" s="37">
        <f>IF(I375="","",HYPERLINK("https://www.google.com/maps/search/?api=1&amp;query="&amp;SUBSTITUTE(I375&amp;", "&amp;J375&amp;", Rio de Janeiro"," ","+"),"Abrir no Maps"))</f>
        <v/>
      </c>
    </row>
    <row r="376">
      <c r="A376" s="16">
        <f>IF(C376="","",TEXT(C376,"mmmm"))</f>
        <v/>
      </c>
      <c r="B376" s="16">
        <f>IF(C376="","","Semana "&amp;ROUNDUP(DAY(C376)/7,0))</f>
        <v/>
      </c>
      <c r="C376" s="34" t="n"/>
      <c r="D376" s="16">
        <f>IF(C376="","",TEXT(C376,"dddd"))</f>
        <v/>
      </c>
      <c r="E376" s="16" t="n"/>
      <c r="F376" s="16">
        <f>IF(G376&lt;&gt;"",IF(LEFT(UPPER(TRIM(G376)),1)="V","Drogaria Venancio",""),IF(H376&lt;&gt;"","Cristal",""))</f>
        <v/>
      </c>
      <c r="G376" s="16" t="n"/>
      <c r="H376" s="16" t="n"/>
      <c r="I376" s="16" t="n"/>
      <c r="J376" s="16" t="n"/>
      <c r="K376" s="16" t="n"/>
      <c r="L376" s="16" t="n"/>
      <c r="M376" s="35">
        <f>IF(I376="","",HYPERLINK("https://www.google.com/maps/search/?api=1&amp;query="&amp;SUBSTITUTE(I376&amp;", "&amp;J376&amp;", Rio de Janeiro"," ","+"),"Abrir no Maps"))</f>
        <v/>
      </c>
    </row>
    <row r="377">
      <c r="A377" s="20">
        <f>IF(C377="","",TEXT(C377,"mmmm"))</f>
        <v/>
      </c>
      <c r="B377" s="20">
        <f>IF(C377="","","Semana "&amp;ROUNDUP(DAY(C377)/7,0))</f>
        <v/>
      </c>
      <c r="C377" s="36" t="n"/>
      <c r="D377" s="20">
        <f>IF(C377="","",TEXT(C377,"dddd"))</f>
        <v/>
      </c>
      <c r="E377" s="20" t="n"/>
      <c r="F377" s="20">
        <f>IF(G377&lt;&gt;"",IF(LEFT(UPPER(TRIM(G377)),1)="V","Drogaria Venancio",""),IF(H377&lt;&gt;"","Cristal",""))</f>
        <v/>
      </c>
      <c r="G377" s="20" t="n"/>
      <c r="H377" s="20" t="n"/>
      <c r="I377" s="20" t="n"/>
      <c r="J377" s="20" t="n"/>
      <c r="K377" s="20" t="n"/>
      <c r="L377" s="20" t="n"/>
      <c r="M377" s="37">
        <f>IF(I377="","",HYPERLINK("https://www.google.com/maps/search/?api=1&amp;query="&amp;SUBSTITUTE(I377&amp;", "&amp;J377&amp;", Rio de Janeiro"," ","+"),"Abrir no Maps"))</f>
        <v/>
      </c>
    </row>
    <row r="378">
      <c r="A378" s="16">
        <f>IF(C378="","",TEXT(C378,"mmmm"))</f>
        <v/>
      </c>
      <c r="B378" s="16">
        <f>IF(C378="","","Semana "&amp;ROUNDUP(DAY(C378)/7,0))</f>
        <v/>
      </c>
      <c r="C378" s="34" t="n"/>
      <c r="D378" s="16">
        <f>IF(C378="","",TEXT(C378,"dddd"))</f>
        <v/>
      </c>
      <c r="E378" s="16" t="n"/>
      <c r="F378" s="16">
        <f>IF(G378&lt;&gt;"",IF(LEFT(UPPER(TRIM(G378)),1)="V","Drogaria Venancio",""),IF(H378&lt;&gt;"","Cristal",""))</f>
        <v/>
      </c>
      <c r="G378" s="16" t="n"/>
      <c r="H378" s="16" t="n"/>
      <c r="I378" s="16" t="n"/>
      <c r="J378" s="16" t="n"/>
      <c r="K378" s="16" t="n"/>
      <c r="L378" s="16" t="n"/>
      <c r="M378" s="35">
        <f>IF(I378="","",HYPERLINK("https://www.google.com/maps/search/?api=1&amp;query="&amp;SUBSTITUTE(I378&amp;", "&amp;J378&amp;", Rio de Janeiro"," ","+"),"Abrir no Maps"))</f>
        <v/>
      </c>
    </row>
    <row r="379">
      <c r="A379" s="20">
        <f>IF(C379="","",TEXT(C379,"mmmm"))</f>
        <v/>
      </c>
      <c r="B379" s="20">
        <f>IF(C379="","","Semana "&amp;ROUNDUP(DAY(C379)/7,0))</f>
        <v/>
      </c>
      <c r="C379" s="36" t="n"/>
      <c r="D379" s="20">
        <f>IF(C379="","",TEXT(C379,"dddd"))</f>
        <v/>
      </c>
      <c r="E379" s="20" t="n"/>
      <c r="F379" s="20">
        <f>IF(G379&lt;&gt;"",IF(LEFT(UPPER(TRIM(G379)),1)="V","Drogaria Venancio",""),IF(H379&lt;&gt;"","Cristal",""))</f>
        <v/>
      </c>
      <c r="G379" s="20" t="n"/>
      <c r="H379" s="20" t="n"/>
      <c r="I379" s="20" t="n"/>
      <c r="J379" s="20" t="n"/>
      <c r="K379" s="20" t="n"/>
      <c r="L379" s="20" t="n"/>
      <c r="M379" s="37">
        <f>IF(I379="","",HYPERLINK("https://www.google.com/maps/search/?api=1&amp;query="&amp;SUBSTITUTE(I379&amp;", "&amp;J379&amp;", Rio de Janeiro"," ","+"),"Abrir no Maps"))</f>
        <v/>
      </c>
    </row>
    <row r="380">
      <c r="A380" s="16">
        <f>IF(C380="","",TEXT(C380,"mmmm"))</f>
        <v/>
      </c>
      <c r="B380" s="16">
        <f>IF(C380="","","Semana "&amp;ROUNDUP(DAY(C380)/7,0))</f>
        <v/>
      </c>
      <c r="C380" s="34" t="n"/>
      <c r="D380" s="16">
        <f>IF(C380="","",TEXT(C380,"dddd"))</f>
        <v/>
      </c>
      <c r="E380" s="16" t="n"/>
      <c r="F380" s="16">
        <f>IF(G380&lt;&gt;"",IF(LEFT(UPPER(TRIM(G380)),1)="V","Drogaria Venancio",""),IF(H380&lt;&gt;"","Cristal",""))</f>
        <v/>
      </c>
      <c r="G380" s="16" t="n"/>
      <c r="H380" s="16" t="n"/>
      <c r="I380" s="16" t="n"/>
      <c r="J380" s="16" t="n"/>
      <c r="K380" s="16" t="n"/>
      <c r="L380" s="16" t="n"/>
      <c r="M380" s="35">
        <f>IF(I380="","",HYPERLINK("https://www.google.com/maps/search/?api=1&amp;query="&amp;SUBSTITUTE(I380&amp;", "&amp;J380&amp;", Rio de Janeiro"," ","+"),"Abrir no Maps"))</f>
        <v/>
      </c>
    </row>
    <row r="381">
      <c r="A381" s="20">
        <f>IF(C381="","",TEXT(C381,"mmmm"))</f>
        <v/>
      </c>
      <c r="B381" s="20">
        <f>IF(C381="","","Semana "&amp;ROUNDUP(DAY(C381)/7,0))</f>
        <v/>
      </c>
      <c r="C381" s="36" t="n"/>
      <c r="D381" s="20">
        <f>IF(C381="","",TEXT(C381,"dddd"))</f>
        <v/>
      </c>
      <c r="E381" s="20" t="n"/>
      <c r="F381" s="20">
        <f>IF(G381&lt;&gt;"",IF(LEFT(UPPER(TRIM(G381)),1)="V","Drogaria Venancio",""),IF(H381&lt;&gt;"","Cristal",""))</f>
        <v/>
      </c>
      <c r="G381" s="20" t="n"/>
      <c r="H381" s="20" t="n"/>
      <c r="I381" s="20" t="n"/>
      <c r="J381" s="20" t="n"/>
      <c r="K381" s="20" t="n"/>
      <c r="L381" s="20" t="n"/>
      <c r="M381" s="37">
        <f>IF(I381="","",HYPERLINK("https://www.google.com/maps/search/?api=1&amp;query="&amp;SUBSTITUTE(I381&amp;", "&amp;J381&amp;", Rio de Janeiro"," ","+"),"Abrir no Maps"))</f>
        <v/>
      </c>
    </row>
    <row r="382">
      <c r="A382" s="16">
        <f>IF(C382="","",TEXT(C382,"mmmm"))</f>
        <v/>
      </c>
      <c r="B382" s="16">
        <f>IF(C382="","","Semana "&amp;ROUNDUP(DAY(C382)/7,0))</f>
        <v/>
      </c>
      <c r="C382" s="34" t="n"/>
      <c r="D382" s="16">
        <f>IF(C382="","",TEXT(C382,"dddd"))</f>
        <v/>
      </c>
      <c r="E382" s="16" t="n"/>
      <c r="F382" s="16">
        <f>IF(G382&lt;&gt;"",IF(LEFT(UPPER(TRIM(G382)),1)="V","Drogaria Venancio",""),IF(H382&lt;&gt;"","Cristal",""))</f>
        <v/>
      </c>
      <c r="G382" s="16" t="n"/>
      <c r="H382" s="16" t="n"/>
      <c r="I382" s="16" t="n"/>
      <c r="J382" s="16" t="n"/>
      <c r="K382" s="16" t="n"/>
      <c r="L382" s="16" t="n"/>
      <c r="M382" s="35">
        <f>IF(I382="","",HYPERLINK("https://www.google.com/maps/search/?api=1&amp;query="&amp;SUBSTITUTE(I382&amp;", "&amp;J382&amp;", Rio de Janeiro"," ","+"),"Abrir no Maps"))</f>
        <v/>
      </c>
    </row>
    <row r="383">
      <c r="A383" s="20">
        <f>IF(C383="","",TEXT(C383,"mmmm"))</f>
        <v/>
      </c>
      <c r="B383" s="20">
        <f>IF(C383="","","Semana "&amp;ROUNDUP(DAY(C383)/7,0))</f>
        <v/>
      </c>
      <c r="C383" s="36" t="n"/>
      <c r="D383" s="20">
        <f>IF(C383="","",TEXT(C383,"dddd"))</f>
        <v/>
      </c>
      <c r="E383" s="20" t="n"/>
      <c r="F383" s="20">
        <f>IF(G383&lt;&gt;"",IF(LEFT(UPPER(TRIM(G383)),1)="V","Drogaria Venancio",""),IF(H383&lt;&gt;"","Cristal",""))</f>
        <v/>
      </c>
      <c r="G383" s="20" t="n"/>
      <c r="H383" s="20" t="n"/>
      <c r="I383" s="20" t="n"/>
      <c r="J383" s="20" t="n"/>
      <c r="K383" s="20" t="n"/>
      <c r="L383" s="20" t="n"/>
      <c r="M383" s="37">
        <f>IF(I383="","",HYPERLINK("https://www.google.com/maps/search/?api=1&amp;query="&amp;SUBSTITUTE(I383&amp;", "&amp;J383&amp;", Rio de Janeiro"," ","+"),"Abrir no Maps"))</f>
        <v/>
      </c>
    </row>
    <row r="384">
      <c r="A384" s="16">
        <f>IF(C384="","",TEXT(C384,"mmmm"))</f>
        <v/>
      </c>
      <c r="B384" s="16">
        <f>IF(C384="","","Semana "&amp;ROUNDUP(DAY(C384)/7,0))</f>
        <v/>
      </c>
      <c r="C384" s="34" t="n"/>
      <c r="D384" s="16">
        <f>IF(C384="","",TEXT(C384,"dddd"))</f>
        <v/>
      </c>
      <c r="E384" s="16" t="n"/>
      <c r="F384" s="16">
        <f>IF(G384&lt;&gt;"",IF(LEFT(UPPER(TRIM(G384)),1)="V","Drogaria Venancio",""),IF(H384&lt;&gt;"","Cristal",""))</f>
        <v/>
      </c>
      <c r="G384" s="16" t="n"/>
      <c r="H384" s="16" t="n"/>
      <c r="I384" s="16" t="n"/>
      <c r="J384" s="16" t="n"/>
      <c r="K384" s="16" t="n"/>
      <c r="L384" s="16" t="n"/>
      <c r="M384" s="35">
        <f>IF(I384="","",HYPERLINK("https://www.google.com/maps/search/?api=1&amp;query="&amp;SUBSTITUTE(I384&amp;", "&amp;J384&amp;", Rio de Janeiro"," ","+"),"Abrir no Maps"))</f>
        <v/>
      </c>
    </row>
    <row r="385">
      <c r="A385" s="20">
        <f>IF(C385="","",TEXT(C385,"mmmm"))</f>
        <v/>
      </c>
      <c r="B385" s="20">
        <f>IF(C385="","","Semana "&amp;ROUNDUP(DAY(C385)/7,0))</f>
        <v/>
      </c>
      <c r="C385" s="36" t="n"/>
      <c r="D385" s="20">
        <f>IF(C385="","",TEXT(C385,"dddd"))</f>
        <v/>
      </c>
      <c r="E385" s="20" t="n"/>
      <c r="F385" s="20">
        <f>IF(G385&lt;&gt;"",IF(LEFT(UPPER(TRIM(G385)),1)="V","Drogaria Venancio",""),IF(H385&lt;&gt;"","Cristal",""))</f>
        <v/>
      </c>
      <c r="G385" s="20" t="n"/>
      <c r="H385" s="20" t="n"/>
      <c r="I385" s="20" t="n"/>
      <c r="J385" s="20" t="n"/>
      <c r="K385" s="20" t="n"/>
      <c r="L385" s="20" t="n"/>
      <c r="M385" s="37">
        <f>IF(I385="","",HYPERLINK("https://www.google.com/maps/search/?api=1&amp;query="&amp;SUBSTITUTE(I385&amp;", "&amp;J385&amp;", Rio de Janeiro"," ","+"),"Abrir no Maps"))</f>
        <v/>
      </c>
    </row>
    <row r="386">
      <c r="A386" s="16">
        <f>IF(C386="","",TEXT(C386,"mmmm"))</f>
        <v/>
      </c>
      <c r="B386" s="16">
        <f>IF(C386="","","Semana "&amp;ROUNDUP(DAY(C386)/7,0))</f>
        <v/>
      </c>
      <c r="C386" s="34" t="n"/>
      <c r="D386" s="16">
        <f>IF(C386="","",TEXT(C386,"dddd"))</f>
        <v/>
      </c>
      <c r="E386" s="16" t="n"/>
      <c r="F386" s="16">
        <f>IF(G386&lt;&gt;"",IF(LEFT(UPPER(TRIM(G386)),1)="V","Drogaria Venancio",""),IF(H386&lt;&gt;"","Cristal",""))</f>
        <v/>
      </c>
      <c r="G386" s="16" t="n"/>
      <c r="H386" s="16" t="n"/>
      <c r="I386" s="16" t="n"/>
      <c r="J386" s="16" t="n"/>
      <c r="K386" s="16" t="n"/>
      <c r="L386" s="16" t="n"/>
      <c r="M386" s="35">
        <f>IF(I386="","",HYPERLINK("https://www.google.com/maps/search/?api=1&amp;query="&amp;SUBSTITUTE(I386&amp;", "&amp;J386&amp;", Rio de Janeiro"," ","+"),"Abrir no Maps"))</f>
        <v/>
      </c>
    </row>
    <row r="387">
      <c r="A387" s="20">
        <f>IF(C387="","",TEXT(C387,"mmmm"))</f>
        <v/>
      </c>
      <c r="B387" s="20">
        <f>IF(C387="","","Semana "&amp;ROUNDUP(DAY(C387)/7,0))</f>
        <v/>
      </c>
      <c r="C387" s="36" t="n"/>
      <c r="D387" s="20">
        <f>IF(C387="","",TEXT(C387,"dddd"))</f>
        <v/>
      </c>
      <c r="E387" s="20" t="n"/>
      <c r="F387" s="20">
        <f>IF(G387&lt;&gt;"",IF(LEFT(UPPER(TRIM(G387)),1)="V","Drogaria Venancio",""),IF(H387&lt;&gt;"","Cristal",""))</f>
        <v/>
      </c>
      <c r="G387" s="20" t="n"/>
      <c r="H387" s="20" t="n"/>
      <c r="I387" s="20" t="n"/>
      <c r="J387" s="20" t="n"/>
      <c r="K387" s="20" t="n"/>
      <c r="L387" s="20" t="n"/>
      <c r="M387" s="37">
        <f>IF(I387="","",HYPERLINK("https://www.google.com/maps/search/?api=1&amp;query="&amp;SUBSTITUTE(I387&amp;", "&amp;J387&amp;", Rio de Janeiro"," ","+"),"Abrir no Maps"))</f>
        <v/>
      </c>
    </row>
    <row r="388">
      <c r="A388" s="16">
        <f>IF(C388="","",TEXT(C388,"mmmm"))</f>
        <v/>
      </c>
      <c r="B388" s="16">
        <f>IF(C388="","","Semana "&amp;ROUNDUP(DAY(C388)/7,0))</f>
        <v/>
      </c>
      <c r="C388" s="34" t="n"/>
      <c r="D388" s="16">
        <f>IF(C388="","",TEXT(C388,"dddd"))</f>
        <v/>
      </c>
      <c r="E388" s="16" t="n"/>
      <c r="F388" s="16">
        <f>IF(G388&lt;&gt;"",IF(LEFT(UPPER(TRIM(G388)),1)="V","Drogaria Venancio",""),IF(H388&lt;&gt;"","Cristal",""))</f>
        <v/>
      </c>
      <c r="G388" s="16" t="n"/>
      <c r="H388" s="16" t="n"/>
      <c r="I388" s="16" t="n"/>
      <c r="J388" s="16" t="n"/>
      <c r="K388" s="16" t="n"/>
      <c r="L388" s="16" t="n"/>
      <c r="M388" s="35">
        <f>IF(I388="","",HYPERLINK("https://www.google.com/maps/search/?api=1&amp;query="&amp;SUBSTITUTE(I388&amp;", "&amp;J388&amp;", Rio de Janeiro"," ","+"),"Abrir no Maps"))</f>
        <v/>
      </c>
    </row>
    <row r="389">
      <c r="A389" s="20">
        <f>IF(C389="","",TEXT(C389,"mmmm"))</f>
        <v/>
      </c>
      <c r="B389" s="20">
        <f>IF(C389="","","Semana "&amp;ROUNDUP(DAY(C389)/7,0))</f>
        <v/>
      </c>
      <c r="C389" s="36" t="n"/>
      <c r="D389" s="20">
        <f>IF(C389="","",TEXT(C389,"dddd"))</f>
        <v/>
      </c>
      <c r="E389" s="20" t="n"/>
      <c r="F389" s="20">
        <f>IF(G389&lt;&gt;"",IF(LEFT(UPPER(TRIM(G389)),1)="V","Drogaria Venancio",""),IF(H389&lt;&gt;"","Cristal",""))</f>
        <v/>
      </c>
      <c r="G389" s="20" t="n"/>
      <c r="H389" s="20" t="n"/>
      <c r="I389" s="20" t="n"/>
      <c r="J389" s="20" t="n"/>
      <c r="K389" s="20" t="n"/>
      <c r="L389" s="20" t="n"/>
      <c r="M389" s="37">
        <f>IF(I389="","",HYPERLINK("https://www.google.com/maps/search/?api=1&amp;query="&amp;SUBSTITUTE(I389&amp;", "&amp;J389&amp;", Rio de Janeiro"," ","+"),"Abrir no Maps"))</f>
        <v/>
      </c>
    </row>
    <row r="390">
      <c r="A390" s="16">
        <f>IF(C390="","",TEXT(C390,"mmmm"))</f>
        <v/>
      </c>
      <c r="B390" s="16">
        <f>IF(C390="","","Semana "&amp;ROUNDUP(DAY(C390)/7,0))</f>
        <v/>
      </c>
      <c r="C390" s="34" t="n"/>
      <c r="D390" s="16">
        <f>IF(C390="","",TEXT(C390,"dddd"))</f>
        <v/>
      </c>
      <c r="E390" s="16" t="n"/>
      <c r="F390" s="16">
        <f>IF(G390&lt;&gt;"",IF(LEFT(UPPER(TRIM(G390)),1)="V","Drogaria Venancio",""),IF(H390&lt;&gt;"","Cristal",""))</f>
        <v/>
      </c>
      <c r="G390" s="16" t="n"/>
      <c r="H390" s="16" t="n"/>
      <c r="I390" s="16" t="n"/>
      <c r="J390" s="16" t="n"/>
      <c r="K390" s="16" t="n"/>
      <c r="L390" s="16" t="n"/>
      <c r="M390" s="35">
        <f>IF(I390="","",HYPERLINK("https://www.google.com/maps/search/?api=1&amp;query="&amp;SUBSTITUTE(I390&amp;", "&amp;J390&amp;", Rio de Janeiro"," ","+"),"Abrir no Maps"))</f>
        <v/>
      </c>
    </row>
    <row r="391">
      <c r="A391" s="20">
        <f>IF(C391="","",TEXT(C391,"mmmm"))</f>
        <v/>
      </c>
      <c r="B391" s="20">
        <f>IF(C391="","","Semana "&amp;ROUNDUP(DAY(C391)/7,0))</f>
        <v/>
      </c>
      <c r="C391" s="36" t="n"/>
      <c r="D391" s="20">
        <f>IF(C391="","",TEXT(C391,"dddd"))</f>
        <v/>
      </c>
      <c r="E391" s="20" t="n"/>
      <c r="F391" s="20">
        <f>IF(G391&lt;&gt;"",IF(LEFT(UPPER(TRIM(G391)),1)="V","Drogaria Venancio",""),IF(H391&lt;&gt;"","Cristal",""))</f>
        <v/>
      </c>
      <c r="G391" s="20" t="n"/>
      <c r="H391" s="20" t="n"/>
      <c r="I391" s="20" t="n"/>
      <c r="J391" s="20" t="n"/>
      <c r="K391" s="20" t="n"/>
      <c r="L391" s="20" t="n"/>
      <c r="M391" s="37">
        <f>IF(I391="","",HYPERLINK("https://www.google.com/maps/search/?api=1&amp;query="&amp;SUBSTITUTE(I391&amp;", "&amp;J391&amp;", Rio de Janeiro"," ","+"),"Abrir no Maps"))</f>
        <v/>
      </c>
    </row>
    <row r="392">
      <c r="A392" s="16">
        <f>IF(C392="","",TEXT(C392,"mmmm"))</f>
        <v/>
      </c>
      <c r="B392" s="16">
        <f>IF(C392="","","Semana "&amp;ROUNDUP(DAY(C392)/7,0))</f>
        <v/>
      </c>
      <c r="C392" s="34" t="n"/>
      <c r="D392" s="16">
        <f>IF(C392="","",TEXT(C392,"dddd"))</f>
        <v/>
      </c>
      <c r="E392" s="16" t="n"/>
      <c r="F392" s="16">
        <f>IF(G392&lt;&gt;"",IF(LEFT(UPPER(TRIM(G392)),1)="V","Drogaria Venancio",""),IF(H392&lt;&gt;"","Cristal",""))</f>
        <v/>
      </c>
      <c r="G392" s="16" t="n"/>
      <c r="H392" s="16" t="n"/>
      <c r="I392" s="16" t="n"/>
      <c r="J392" s="16" t="n"/>
      <c r="K392" s="16" t="n"/>
      <c r="L392" s="16" t="n"/>
      <c r="M392" s="35">
        <f>IF(I392="","",HYPERLINK("https://www.google.com/maps/search/?api=1&amp;query="&amp;SUBSTITUTE(I392&amp;", "&amp;J392&amp;", Rio de Janeiro"," ","+"),"Abrir no Maps"))</f>
        <v/>
      </c>
    </row>
    <row r="393">
      <c r="A393" s="20">
        <f>IF(C393="","",TEXT(C393,"mmmm"))</f>
        <v/>
      </c>
      <c r="B393" s="20">
        <f>IF(C393="","","Semana "&amp;ROUNDUP(DAY(C393)/7,0))</f>
        <v/>
      </c>
      <c r="C393" s="36" t="n"/>
      <c r="D393" s="20">
        <f>IF(C393="","",TEXT(C393,"dddd"))</f>
        <v/>
      </c>
      <c r="E393" s="20" t="n"/>
      <c r="F393" s="20">
        <f>IF(G393&lt;&gt;"",IF(LEFT(UPPER(TRIM(G393)),1)="V","Drogaria Venancio",""),IF(H393&lt;&gt;"","Cristal",""))</f>
        <v/>
      </c>
      <c r="G393" s="20" t="n"/>
      <c r="H393" s="20" t="n"/>
      <c r="I393" s="20" t="n"/>
      <c r="J393" s="20" t="n"/>
      <c r="K393" s="20" t="n"/>
      <c r="L393" s="20" t="n"/>
      <c r="M393" s="37">
        <f>IF(I393="","",HYPERLINK("https://www.google.com/maps/search/?api=1&amp;query="&amp;SUBSTITUTE(I393&amp;", "&amp;J393&amp;", Rio de Janeiro"," ","+"),"Abrir no Maps"))</f>
        <v/>
      </c>
    </row>
    <row r="394">
      <c r="A394" s="16">
        <f>IF(C394="","",TEXT(C394,"mmmm"))</f>
        <v/>
      </c>
      <c r="B394" s="16">
        <f>IF(C394="","","Semana "&amp;ROUNDUP(DAY(C394)/7,0))</f>
        <v/>
      </c>
      <c r="C394" s="34" t="n"/>
      <c r="D394" s="16">
        <f>IF(C394="","",TEXT(C394,"dddd"))</f>
        <v/>
      </c>
      <c r="E394" s="16" t="n"/>
      <c r="F394" s="16">
        <f>IF(G394&lt;&gt;"",IF(LEFT(UPPER(TRIM(G394)),1)="V","Drogaria Venancio",""),IF(H394&lt;&gt;"","Cristal",""))</f>
        <v/>
      </c>
      <c r="G394" s="16" t="n"/>
      <c r="H394" s="16" t="n"/>
      <c r="I394" s="16" t="n"/>
      <c r="J394" s="16" t="n"/>
      <c r="K394" s="16" t="n"/>
      <c r="L394" s="16" t="n"/>
      <c r="M394" s="35">
        <f>IF(I394="","",HYPERLINK("https://www.google.com/maps/search/?api=1&amp;query="&amp;SUBSTITUTE(I394&amp;", "&amp;J394&amp;", Rio de Janeiro"," ","+"),"Abrir no Maps"))</f>
        <v/>
      </c>
    </row>
    <row r="395">
      <c r="A395" s="20">
        <f>IF(C395="","",TEXT(C395,"mmmm"))</f>
        <v/>
      </c>
      <c r="B395" s="20">
        <f>IF(C395="","","Semana "&amp;ROUNDUP(DAY(C395)/7,0))</f>
        <v/>
      </c>
      <c r="C395" s="36" t="n"/>
      <c r="D395" s="20">
        <f>IF(C395="","",TEXT(C395,"dddd"))</f>
        <v/>
      </c>
      <c r="E395" s="20" t="n"/>
      <c r="F395" s="20">
        <f>IF(G395&lt;&gt;"",IF(LEFT(UPPER(TRIM(G395)),1)="V","Drogaria Venancio",""),IF(H395&lt;&gt;"","Cristal",""))</f>
        <v/>
      </c>
      <c r="G395" s="20" t="n"/>
      <c r="H395" s="20" t="n"/>
      <c r="I395" s="20" t="n"/>
      <c r="J395" s="20" t="n"/>
      <c r="K395" s="20" t="n"/>
      <c r="L395" s="20" t="n"/>
      <c r="M395" s="37">
        <f>IF(I395="","",HYPERLINK("https://www.google.com/maps/search/?api=1&amp;query="&amp;SUBSTITUTE(I395&amp;", "&amp;J395&amp;", Rio de Janeiro"," ","+"),"Abrir no Maps"))</f>
        <v/>
      </c>
    </row>
    <row r="396">
      <c r="A396" s="16">
        <f>IF(C396="","",TEXT(C396,"mmmm"))</f>
        <v/>
      </c>
      <c r="B396" s="16">
        <f>IF(C396="","","Semana "&amp;ROUNDUP(DAY(C396)/7,0))</f>
        <v/>
      </c>
      <c r="C396" s="34" t="n"/>
      <c r="D396" s="16">
        <f>IF(C396="","",TEXT(C396,"dddd"))</f>
        <v/>
      </c>
      <c r="E396" s="16" t="n"/>
      <c r="F396" s="16">
        <f>IF(G396&lt;&gt;"",IF(LEFT(UPPER(TRIM(G396)),1)="V","Drogaria Venancio",""),IF(H396&lt;&gt;"","Cristal",""))</f>
        <v/>
      </c>
      <c r="G396" s="16" t="n"/>
      <c r="H396" s="16" t="n"/>
      <c r="I396" s="16" t="n"/>
      <c r="J396" s="16" t="n"/>
      <c r="K396" s="16" t="n"/>
      <c r="L396" s="16" t="n"/>
      <c r="M396" s="35">
        <f>IF(I396="","",HYPERLINK("https://www.google.com/maps/search/?api=1&amp;query="&amp;SUBSTITUTE(I396&amp;", "&amp;J396&amp;", Rio de Janeiro"," ","+"),"Abrir no Maps"))</f>
        <v/>
      </c>
    </row>
    <row r="397">
      <c r="A397" s="20">
        <f>IF(C397="","",TEXT(C397,"mmmm"))</f>
        <v/>
      </c>
      <c r="B397" s="20">
        <f>IF(C397="","","Semana "&amp;ROUNDUP(DAY(C397)/7,0))</f>
        <v/>
      </c>
      <c r="C397" s="36" t="n"/>
      <c r="D397" s="20">
        <f>IF(C397="","",TEXT(C397,"dddd"))</f>
        <v/>
      </c>
      <c r="E397" s="20" t="n"/>
      <c r="F397" s="20">
        <f>IF(G397&lt;&gt;"",IF(LEFT(UPPER(TRIM(G397)),1)="V","Drogaria Venancio",""),IF(H397&lt;&gt;"","Cristal",""))</f>
        <v/>
      </c>
      <c r="G397" s="20" t="n"/>
      <c r="H397" s="20" t="n"/>
      <c r="I397" s="20" t="n"/>
      <c r="J397" s="20" t="n"/>
      <c r="K397" s="20" t="n"/>
      <c r="L397" s="20" t="n"/>
      <c r="M397" s="37">
        <f>IF(I397="","",HYPERLINK("https://www.google.com/maps/search/?api=1&amp;query="&amp;SUBSTITUTE(I397&amp;", "&amp;J397&amp;", Rio de Janeiro"," ","+"),"Abrir no Maps"))</f>
        <v/>
      </c>
    </row>
    <row r="398">
      <c r="A398" s="16">
        <f>IF(C398="","",TEXT(C398,"mmmm"))</f>
        <v/>
      </c>
      <c r="B398" s="16">
        <f>IF(C398="","","Semana "&amp;ROUNDUP(DAY(C398)/7,0))</f>
        <v/>
      </c>
      <c r="C398" s="34" t="n"/>
      <c r="D398" s="16">
        <f>IF(C398="","",TEXT(C398,"dddd"))</f>
        <v/>
      </c>
      <c r="E398" s="16" t="n"/>
      <c r="F398" s="16">
        <f>IF(G398&lt;&gt;"",IF(LEFT(UPPER(TRIM(G398)),1)="V","Drogaria Venancio",""),IF(H398&lt;&gt;"","Cristal",""))</f>
        <v/>
      </c>
      <c r="G398" s="16" t="n"/>
      <c r="H398" s="16" t="n"/>
      <c r="I398" s="16" t="n"/>
      <c r="J398" s="16" t="n"/>
      <c r="K398" s="16" t="n"/>
      <c r="L398" s="16" t="n"/>
      <c r="M398" s="35">
        <f>IF(I398="","",HYPERLINK("https://www.google.com/maps/search/?api=1&amp;query="&amp;SUBSTITUTE(I398&amp;", "&amp;J398&amp;", Rio de Janeiro"," ","+"),"Abrir no Maps"))</f>
        <v/>
      </c>
    </row>
    <row r="399">
      <c r="A399" s="20">
        <f>IF(C399="","",TEXT(C399,"mmmm"))</f>
        <v/>
      </c>
      <c r="B399" s="20">
        <f>IF(C399="","","Semana "&amp;ROUNDUP(DAY(C399)/7,0))</f>
        <v/>
      </c>
      <c r="C399" s="36" t="n"/>
      <c r="D399" s="20">
        <f>IF(C399="","",TEXT(C399,"dddd"))</f>
        <v/>
      </c>
      <c r="E399" s="20" t="n"/>
      <c r="F399" s="20">
        <f>IF(G399&lt;&gt;"",IF(LEFT(UPPER(TRIM(G399)),1)="V","Drogaria Venancio",""),IF(H399&lt;&gt;"","Cristal",""))</f>
        <v/>
      </c>
      <c r="G399" s="20" t="n"/>
      <c r="H399" s="20" t="n"/>
      <c r="I399" s="20" t="n"/>
      <c r="J399" s="20" t="n"/>
      <c r="K399" s="20" t="n"/>
      <c r="L399" s="20" t="n"/>
      <c r="M399" s="37">
        <f>IF(I399="","",HYPERLINK("https://www.google.com/maps/search/?api=1&amp;query="&amp;SUBSTITUTE(I399&amp;", "&amp;J399&amp;", Rio de Janeiro"," ","+"),"Abrir no Maps"))</f>
        <v/>
      </c>
    </row>
    <row r="400">
      <c r="A400" s="16">
        <f>IF(C400="","",TEXT(C400,"mmmm"))</f>
        <v/>
      </c>
      <c r="B400" s="16">
        <f>IF(C400="","","Semana "&amp;ROUNDUP(DAY(C400)/7,0))</f>
        <v/>
      </c>
      <c r="C400" s="34" t="n"/>
      <c r="D400" s="16">
        <f>IF(C400="","",TEXT(C400,"dddd"))</f>
        <v/>
      </c>
      <c r="E400" s="16" t="n"/>
      <c r="F400" s="16">
        <f>IF(G400&lt;&gt;"",IF(LEFT(UPPER(TRIM(G400)),1)="V","Drogaria Venancio",""),IF(H400&lt;&gt;"","Cristal",""))</f>
        <v/>
      </c>
      <c r="G400" s="16" t="n"/>
      <c r="H400" s="16" t="n"/>
      <c r="I400" s="16" t="n"/>
      <c r="J400" s="16" t="n"/>
      <c r="K400" s="16" t="n"/>
      <c r="L400" s="16" t="n"/>
      <c r="M400" s="35">
        <f>IF(I400="","",HYPERLINK("https://www.google.com/maps/search/?api=1&amp;query="&amp;SUBSTITUTE(I400&amp;", "&amp;J400&amp;", Rio de Janeiro"," ","+"),"Abrir no Maps"))</f>
        <v/>
      </c>
    </row>
    <row r="401">
      <c r="A401" s="20">
        <f>IF(C401="","",TEXT(C401,"mmmm"))</f>
        <v/>
      </c>
      <c r="B401" s="20">
        <f>IF(C401="","","Semana "&amp;ROUNDUP(DAY(C401)/7,0))</f>
        <v/>
      </c>
      <c r="C401" s="36" t="n"/>
      <c r="D401" s="20">
        <f>IF(C401="","",TEXT(C401,"dddd"))</f>
        <v/>
      </c>
      <c r="E401" s="20" t="n"/>
      <c r="F401" s="20">
        <f>IF(G401&lt;&gt;"",IF(LEFT(UPPER(TRIM(G401)),1)="V","Drogaria Venancio",""),IF(H401&lt;&gt;"","Cristal",""))</f>
        <v/>
      </c>
      <c r="G401" s="20" t="n"/>
      <c r="H401" s="20" t="n"/>
      <c r="I401" s="20" t="n"/>
      <c r="J401" s="20" t="n"/>
      <c r="K401" s="20" t="n"/>
      <c r="L401" s="20" t="n"/>
      <c r="M401" s="37">
        <f>IF(I401="","",HYPERLINK("https://www.google.com/maps/search/?api=1&amp;query="&amp;SUBSTITUTE(I401&amp;", "&amp;J401&amp;", Rio de Janeiro"," ","+"),"Abrir no Maps"))</f>
        <v/>
      </c>
    </row>
    <row r="402">
      <c r="A402" s="16">
        <f>IF(C402="","",TEXT(C402,"mmmm"))</f>
        <v/>
      </c>
      <c r="B402" s="16">
        <f>IF(C402="","","Semana "&amp;ROUNDUP(DAY(C402)/7,0))</f>
        <v/>
      </c>
      <c r="C402" s="34" t="n"/>
      <c r="D402" s="16">
        <f>IF(C402="","",TEXT(C402,"dddd"))</f>
        <v/>
      </c>
      <c r="E402" s="16" t="n"/>
      <c r="F402" s="16">
        <f>IF(G402&lt;&gt;"",IF(LEFT(UPPER(TRIM(G402)),1)="V","Drogaria Venancio",""),IF(H402&lt;&gt;"","Cristal",""))</f>
        <v/>
      </c>
      <c r="G402" s="16" t="n"/>
      <c r="H402" s="16" t="n"/>
      <c r="I402" s="16" t="n"/>
      <c r="J402" s="16" t="n"/>
      <c r="K402" s="16" t="n"/>
      <c r="L402" s="16" t="n"/>
      <c r="M402" s="35">
        <f>IF(I402="","",HYPERLINK("https://www.google.com/maps/search/?api=1&amp;query="&amp;SUBSTITUTE(I402&amp;", "&amp;J402&amp;", Rio de Janeiro"," ","+"),"Abrir no Maps"))</f>
        <v/>
      </c>
    </row>
    <row r="403">
      <c r="A403" s="20">
        <f>IF(C403="","",TEXT(C403,"mmmm"))</f>
        <v/>
      </c>
      <c r="B403" s="20">
        <f>IF(C403="","","Semana "&amp;ROUNDUP(DAY(C403)/7,0))</f>
        <v/>
      </c>
      <c r="C403" s="36" t="n"/>
      <c r="D403" s="20">
        <f>IF(C403="","",TEXT(C403,"dddd"))</f>
        <v/>
      </c>
      <c r="E403" s="20" t="n"/>
      <c r="F403" s="20">
        <f>IF(G403&lt;&gt;"",IF(LEFT(UPPER(TRIM(G403)),1)="V","Drogaria Venancio",""),IF(H403&lt;&gt;"","Cristal",""))</f>
        <v/>
      </c>
      <c r="G403" s="20" t="n"/>
      <c r="H403" s="20" t="n"/>
      <c r="I403" s="20" t="n"/>
      <c r="J403" s="20" t="n"/>
      <c r="K403" s="20" t="n"/>
      <c r="L403" s="20" t="n"/>
      <c r="M403" s="37">
        <f>IF(I403="","",HYPERLINK("https://www.google.com/maps/search/?api=1&amp;query="&amp;SUBSTITUTE(I403&amp;", "&amp;J403&amp;", Rio de Janeiro"," ","+"),"Abrir no Maps"))</f>
        <v/>
      </c>
    </row>
    <row r="404">
      <c r="A404" s="16">
        <f>IF(C404="","",TEXT(C404,"mmmm"))</f>
        <v/>
      </c>
      <c r="B404" s="16">
        <f>IF(C404="","","Semana "&amp;ROUNDUP(DAY(C404)/7,0))</f>
        <v/>
      </c>
      <c r="C404" s="34" t="n"/>
      <c r="D404" s="16">
        <f>IF(C404="","",TEXT(C404,"dddd"))</f>
        <v/>
      </c>
      <c r="E404" s="16" t="n"/>
      <c r="F404" s="16">
        <f>IF(G404&lt;&gt;"",IF(LEFT(UPPER(TRIM(G404)),1)="V","Drogaria Venancio",""),IF(H404&lt;&gt;"","Cristal",""))</f>
        <v/>
      </c>
      <c r="G404" s="16" t="n"/>
      <c r="H404" s="16" t="n"/>
      <c r="I404" s="16" t="n"/>
      <c r="J404" s="16" t="n"/>
      <c r="K404" s="16" t="n"/>
      <c r="L404" s="16" t="n"/>
      <c r="M404" s="35">
        <f>IF(I404="","",HYPERLINK("https://www.google.com/maps/search/?api=1&amp;query="&amp;SUBSTITUTE(I404&amp;", "&amp;J404&amp;", Rio de Janeiro"," ","+"),"Abrir no Maps"))</f>
        <v/>
      </c>
    </row>
    <row r="405">
      <c r="A405" s="20">
        <f>IF(C405="","",TEXT(C405,"mmmm"))</f>
        <v/>
      </c>
      <c r="B405" s="20">
        <f>IF(C405="","","Semana "&amp;ROUNDUP(DAY(C405)/7,0))</f>
        <v/>
      </c>
      <c r="C405" s="36" t="n"/>
      <c r="D405" s="20">
        <f>IF(C405="","",TEXT(C405,"dddd"))</f>
        <v/>
      </c>
      <c r="E405" s="20" t="n"/>
      <c r="F405" s="20">
        <f>IF(G405&lt;&gt;"",IF(LEFT(UPPER(TRIM(G405)),1)="V","Drogaria Venancio",""),IF(H405&lt;&gt;"","Cristal",""))</f>
        <v/>
      </c>
      <c r="G405" s="20" t="n"/>
      <c r="H405" s="20" t="n"/>
      <c r="I405" s="20" t="n"/>
      <c r="J405" s="20" t="n"/>
      <c r="K405" s="20" t="n"/>
      <c r="L405" s="20" t="n"/>
      <c r="M405" s="37">
        <f>IF(I405="","",HYPERLINK("https://www.google.com/maps/search/?api=1&amp;query="&amp;SUBSTITUTE(I405&amp;", "&amp;J405&amp;", Rio de Janeiro"," ","+"),"Abrir no Maps"))</f>
        <v/>
      </c>
    </row>
    <row r="406">
      <c r="A406" s="16">
        <f>IF(C406="","",TEXT(C406,"mmmm"))</f>
        <v/>
      </c>
      <c r="B406" s="16">
        <f>IF(C406="","","Semana "&amp;ROUNDUP(DAY(C406)/7,0))</f>
        <v/>
      </c>
      <c r="C406" s="34" t="n"/>
      <c r="D406" s="16">
        <f>IF(C406="","",TEXT(C406,"dddd"))</f>
        <v/>
      </c>
      <c r="E406" s="16" t="n"/>
      <c r="F406" s="16">
        <f>IF(G406&lt;&gt;"",IF(LEFT(UPPER(TRIM(G406)),1)="V","Drogaria Venancio",""),IF(H406&lt;&gt;"","Cristal",""))</f>
        <v/>
      </c>
      <c r="G406" s="16" t="n"/>
      <c r="H406" s="16" t="n"/>
      <c r="I406" s="16" t="n"/>
      <c r="J406" s="16" t="n"/>
      <c r="K406" s="16" t="n"/>
      <c r="L406" s="16" t="n"/>
      <c r="M406" s="35">
        <f>IF(I406="","",HYPERLINK("https://www.google.com/maps/search/?api=1&amp;query="&amp;SUBSTITUTE(I406&amp;", "&amp;J406&amp;", Rio de Janeiro"," ","+"),"Abrir no Maps"))</f>
        <v/>
      </c>
    </row>
    <row r="407">
      <c r="A407" s="20">
        <f>IF(C407="","",TEXT(C407,"mmmm"))</f>
        <v/>
      </c>
      <c r="B407" s="20">
        <f>IF(C407="","","Semana "&amp;ROUNDUP(DAY(C407)/7,0))</f>
        <v/>
      </c>
      <c r="C407" s="36" t="n"/>
      <c r="D407" s="20">
        <f>IF(C407="","",TEXT(C407,"dddd"))</f>
        <v/>
      </c>
      <c r="E407" s="20" t="n"/>
      <c r="F407" s="20">
        <f>IF(G407&lt;&gt;"",IF(LEFT(UPPER(TRIM(G407)),1)="V","Drogaria Venancio",""),IF(H407&lt;&gt;"","Cristal",""))</f>
        <v/>
      </c>
      <c r="G407" s="20" t="n"/>
      <c r="H407" s="20" t="n"/>
      <c r="I407" s="20" t="n"/>
      <c r="J407" s="20" t="n"/>
      <c r="K407" s="20" t="n"/>
      <c r="L407" s="20" t="n"/>
      <c r="M407" s="37">
        <f>IF(I407="","",HYPERLINK("https://www.google.com/maps/search/?api=1&amp;query="&amp;SUBSTITUTE(I407&amp;", "&amp;J407&amp;", Rio de Janeiro"," ","+"),"Abrir no Maps"))</f>
        <v/>
      </c>
    </row>
    <row r="408">
      <c r="A408" s="16">
        <f>IF(C408="","",TEXT(C408,"mmmm"))</f>
        <v/>
      </c>
      <c r="B408" s="16">
        <f>IF(C408="","","Semana "&amp;ROUNDUP(DAY(C408)/7,0))</f>
        <v/>
      </c>
      <c r="C408" s="34" t="n"/>
      <c r="D408" s="16">
        <f>IF(C408="","",TEXT(C408,"dddd"))</f>
        <v/>
      </c>
      <c r="E408" s="16" t="n"/>
      <c r="F408" s="16">
        <f>IF(G408&lt;&gt;"",IF(LEFT(UPPER(TRIM(G408)),1)="V","Drogaria Venancio",""),IF(H408&lt;&gt;"","Cristal",""))</f>
        <v/>
      </c>
      <c r="G408" s="16" t="n"/>
      <c r="H408" s="16" t="n"/>
      <c r="I408" s="16" t="n"/>
      <c r="J408" s="16" t="n"/>
      <c r="K408" s="16" t="n"/>
      <c r="L408" s="16" t="n"/>
      <c r="M408" s="35">
        <f>IF(I408="","",HYPERLINK("https://www.google.com/maps/search/?api=1&amp;query="&amp;SUBSTITUTE(I408&amp;", "&amp;J408&amp;", Rio de Janeiro"," ","+"),"Abrir no Maps"))</f>
        <v/>
      </c>
    </row>
    <row r="409">
      <c r="A409" s="20">
        <f>IF(C409="","",TEXT(C409,"mmmm"))</f>
        <v/>
      </c>
      <c r="B409" s="20">
        <f>IF(C409="","","Semana "&amp;ROUNDUP(DAY(C409)/7,0))</f>
        <v/>
      </c>
      <c r="C409" s="36" t="n"/>
      <c r="D409" s="20">
        <f>IF(C409="","",TEXT(C409,"dddd"))</f>
        <v/>
      </c>
      <c r="E409" s="20" t="n"/>
      <c r="F409" s="20">
        <f>IF(G409&lt;&gt;"",IF(LEFT(UPPER(TRIM(G409)),1)="V","Drogaria Venancio",""),IF(H409&lt;&gt;"","Cristal",""))</f>
        <v/>
      </c>
      <c r="G409" s="20" t="n"/>
      <c r="H409" s="20" t="n"/>
      <c r="I409" s="20" t="n"/>
      <c r="J409" s="20" t="n"/>
      <c r="K409" s="20" t="n"/>
      <c r="L409" s="20" t="n"/>
      <c r="M409" s="37">
        <f>IF(I409="","",HYPERLINK("https://www.google.com/maps/search/?api=1&amp;query="&amp;SUBSTITUTE(I409&amp;", "&amp;J409&amp;", Rio de Janeiro"," ","+"),"Abrir no Maps"))</f>
        <v/>
      </c>
    </row>
    <row r="410">
      <c r="A410" s="16">
        <f>IF(C410="","",TEXT(C410,"mmmm"))</f>
        <v/>
      </c>
      <c r="B410" s="16">
        <f>IF(C410="","","Semana "&amp;ROUNDUP(DAY(C410)/7,0))</f>
        <v/>
      </c>
      <c r="C410" s="34" t="n"/>
      <c r="D410" s="16">
        <f>IF(C410="","",TEXT(C410,"dddd"))</f>
        <v/>
      </c>
      <c r="E410" s="16" t="n"/>
      <c r="F410" s="16">
        <f>IF(G410&lt;&gt;"",IF(LEFT(UPPER(TRIM(G410)),1)="V","Drogaria Venancio",""),IF(H410&lt;&gt;"","Cristal",""))</f>
        <v/>
      </c>
      <c r="G410" s="16" t="n"/>
      <c r="H410" s="16" t="n"/>
      <c r="I410" s="16" t="n"/>
      <c r="J410" s="16" t="n"/>
      <c r="K410" s="16" t="n"/>
      <c r="L410" s="16" t="n"/>
      <c r="M410" s="35">
        <f>IF(I410="","",HYPERLINK("https://www.google.com/maps/search/?api=1&amp;query="&amp;SUBSTITUTE(I410&amp;", "&amp;J410&amp;", Rio de Janeiro"," ","+"),"Abrir no Maps"))</f>
        <v/>
      </c>
    </row>
    <row r="411">
      <c r="A411" s="20">
        <f>IF(C411="","",TEXT(C411,"mmmm"))</f>
        <v/>
      </c>
      <c r="B411" s="20">
        <f>IF(C411="","","Semana "&amp;ROUNDUP(DAY(C411)/7,0))</f>
        <v/>
      </c>
      <c r="C411" s="36" t="n"/>
      <c r="D411" s="20">
        <f>IF(C411="","",TEXT(C411,"dddd"))</f>
        <v/>
      </c>
      <c r="E411" s="20" t="n"/>
      <c r="F411" s="20">
        <f>IF(G411&lt;&gt;"",IF(LEFT(UPPER(TRIM(G411)),1)="V","Drogaria Venancio",""),IF(H411&lt;&gt;"","Cristal",""))</f>
        <v/>
      </c>
      <c r="G411" s="20" t="n"/>
      <c r="H411" s="20" t="n"/>
      <c r="I411" s="20" t="n"/>
      <c r="J411" s="20" t="n"/>
      <c r="K411" s="20" t="n"/>
      <c r="L411" s="20" t="n"/>
      <c r="M411" s="37">
        <f>IF(I411="","",HYPERLINK("https://www.google.com/maps/search/?api=1&amp;query="&amp;SUBSTITUTE(I411&amp;", "&amp;J411&amp;", Rio de Janeiro"," ","+"),"Abrir no Maps"))</f>
        <v/>
      </c>
    </row>
    <row r="412">
      <c r="A412" s="16">
        <f>IF(C412="","",TEXT(C412,"mmmm"))</f>
        <v/>
      </c>
      <c r="B412" s="16">
        <f>IF(C412="","","Semana "&amp;ROUNDUP(DAY(C412)/7,0))</f>
        <v/>
      </c>
      <c r="C412" s="34" t="n"/>
      <c r="D412" s="16">
        <f>IF(C412="","",TEXT(C412,"dddd"))</f>
        <v/>
      </c>
      <c r="E412" s="16" t="n"/>
      <c r="F412" s="16">
        <f>IF(G412&lt;&gt;"",IF(LEFT(UPPER(TRIM(G412)),1)="V","Drogaria Venancio",""),IF(H412&lt;&gt;"","Cristal",""))</f>
        <v/>
      </c>
      <c r="G412" s="16" t="n"/>
      <c r="H412" s="16" t="n"/>
      <c r="I412" s="16" t="n"/>
      <c r="J412" s="16" t="n"/>
      <c r="K412" s="16" t="n"/>
      <c r="L412" s="16" t="n"/>
      <c r="M412" s="35">
        <f>IF(I412="","",HYPERLINK("https://www.google.com/maps/search/?api=1&amp;query="&amp;SUBSTITUTE(I412&amp;", "&amp;J412&amp;", Rio de Janeiro"," ","+"),"Abrir no Maps"))</f>
        <v/>
      </c>
    </row>
    <row r="413">
      <c r="A413" s="20">
        <f>IF(C413="","",TEXT(C413,"mmmm"))</f>
        <v/>
      </c>
      <c r="B413" s="20">
        <f>IF(C413="","","Semana "&amp;ROUNDUP(DAY(C413)/7,0))</f>
        <v/>
      </c>
      <c r="C413" s="36" t="n"/>
      <c r="D413" s="20">
        <f>IF(C413="","",TEXT(C413,"dddd"))</f>
        <v/>
      </c>
      <c r="E413" s="20" t="n"/>
      <c r="F413" s="20">
        <f>IF(G413&lt;&gt;"",IF(LEFT(UPPER(TRIM(G413)),1)="V","Drogaria Venancio",""),IF(H413&lt;&gt;"","Cristal",""))</f>
        <v/>
      </c>
      <c r="G413" s="20" t="n"/>
      <c r="H413" s="20" t="n"/>
      <c r="I413" s="20" t="n"/>
      <c r="J413" s="20" t="n"/>
      <c r="K413" s="20" t="n"/>
      <c r="L413" s="20" t="n"/>
      <c r="M413" s="37">
        <f>IF(I413="","",HYPERLINK("https://www.google.com/maps/search/?api=1&amp;query="&amp;SUBSTITUTE(I413&amp;", "&amp;J413&amp;", Rio de Janeiro"," ","+"),"Abrir no Maps"))</f>
        <v/>
      </c>
    </row>
    <row r="414">
      <c r="A414" s="16">
        <f>IF(C414="","",TEXT(C414,"mmmm"))</f>
        <v/>
      </c>
      <c r="B414" s="16">
        <f>IF(C414="","","Semana "&amp;ROUNDUP(DAY(C414)/7,0))</f>
        <v/>
      </c>
      <c r="C414" s="34" t="n"/>
      <c r="D414" s="16">
        <f>IF(C414="","",TEXT(C414,"dddd"))</f>
        <v/>
      </c>
      <c r="E414" s="16" t="n"/>
      <c r="F414" s="16">
        <f>IF(G414&lt;&gt;"",IF(LEFT(UPPER(TRIM(G414)),1)="V","Drogaria Venancio",""),IF(H414&lt;&gt;"","Cristal",""))</f>
        <v/>
      </c>
      <c r="G414" s="16" t="n"/>
      <c r="H414" s="16" t="n"/>
      <c r="I414" s="16" t="n"/>
      <c r="J414" s="16" t="n"/>
      <c r="K414" s="16" t="n"/>
      <c r="L414" s="16" t="n"/>
      <c r="M414" s="35">
        <f>IF(I414="","",HYPERLINK("https://www.google.com/maps/search/?api=1&amp;query="&amp;SUBSTITUTE(I414&amp;", "&amp;J414&amp;", Rio de Janeiro"," ","+"),"Abrir no Maps"))</f>
        <v/>
      </c>
    </row>
    <row r="415">
      <c r="A415" s="20">
        <f>IF(C415="","",TEXT(C415,"mmmm"))</f>
        <v/>
      </c>
      <c r="B415" s="20">
        <f>IF(C415="","","Semana "&amp;ROUNDUP(DAY(C415)/7,0))</f>
        <v/>
      </c>
      <c r="C415" s="36" t="n"/>
      <c r="D415" s="20">
        <f>IF(C415="","",TEXT(C415,"dddd"))</f>
        <v/>
      </c>
      <c r="E415" s="20" t="n"/>
      <c r="F415" s="20">
        <f>IF(G415&lt;&gt;"",IF(LEFT(UPPER(TRIM(G415)),1)="V","Drogaria Venancio",""),IF(H415&lt;&gt;"","Cristal",""))</f>
        <v/>
      </c>
      <c r="G415" s="20" t="n"/>
      <c r="H415" s="20" t="n"/>
      <c r="I415" s="20" t="n"/>
      <c r="J415" s="20" t="n"/>
      <c r="K415" s="20" t="n"/>
      <c r="L415" s="20" t="n"/>
      <c r="M415" s="37">
        <f>IF(I415="","",HYPERLINK("https://www.google.com/maps/search/?api=1&amp;query="&amp;SUBSTITUTE(I415&amp;", "&amp;J415&amp;", Rio de Janeiro"," ","+"),"Abrir no Maps"))</f>
        <v/>
      </c>
    </row>
    <row r="416">
      <c r="A416" s="16">
        <f>IF(C416="","",TEXT(C416,"mmmm"))</f>
        <v/>
      </c>
      <c r="B416" s="16">
        <f>IF(C416="","","Semana "&amp;ROUNDUP(DAY(C416)/7,0))</f>
        <v/>
      </c>
      <c r="C416" s="34" t="n"/>
      <c r="D416" s="16">
        <f>IF(C416="","",TEXT(C416,"dddd"))</f>
        <v/>
      </c>
      <c r="E416" s="16" t="n"/>
      <c r="F416" s="16">
        <f>IF(G416&lt;&gt;"",IF(LEFT(UPPER(TRIM(G416)),1)="V","Drogaria Venancio",""),IF(H416&lt;&gt;"","Cristal",""))</f>
        <v/>
      </c>
      <c r="G416" s="16" t="n"/>
      <c r="H416" s="16" t="n"/>
      <c r="I416" s="16" t="n"/>
      <c r="J416" s="16" t="n"/>
      <c r="K416" s="16" t="n"/>
      <c r="L416" s="16" t="n"/>
      <c r="M416" s="35">
        <f>IF(I416="","",HYPERLINK("https://www.google.com/maps/search/?api=1&amp;query="&amp;SUBSTITUTE(I416&amp;", "&amp;J416&amp;", Rio de Janeiro"," ","+"),"Abrir no Maps"))</f>
        <v/>
      </c>
    </row>
    <row r="417">
      <c r="A417" s="20">
        <f>IF(C417="","",TEXT(C417,"mmmm"))</f>
        <v/>
      </c>
      <c r="B417" s="20">
        <f>IF(C417="","","Semana "&amp;ROUNDUP(DAY(C417)/7,0))</f>
        <v/>
      </c>
      <c r="C417" s="36" t="n"/>
      <c r="D417" s="20">
        <f>IF(C417="","",TEXT(C417,"dddd"))</f>
        <v/>
      </c>
      <c r="E417" s="20" t="n"/>
      <c r="F417" s="20">
        <f>IF(G417&lt;&gt;"",IF(LEFT(UPPER(TRIM(G417)),1)="V","Drogaria Venancio",""),IF(H417&lt;&gt;"","Cristal",""))</f>
        <v/>
      </c>
      <c r="G417" s="20" t="n"/>
      <c r="H417" s="20" t="n"/>
      <c r="I417" s="20" t="n"/>
      <c r="J417" s="20" t="n"/>
      <c r="K417" s="20" t="n"/>
      <c r="L417" s="20" t="n"/>
      <c r="M417" s="37">
        <f>IF(I417="","",HYPERLINK("https://www.google.com/maps/search/?api=1&amp;query="&amp;SUBSTITUTE(I417&amp;", "&amp;J417&amp;", Rio de Janeiro"," ","+"),"Abrir no Maps"))</f>
        <v/>
      </c>
    </row>
    <row r="418">
      <c r="A418" s="16">
        <f>IF(C418="","",TEXT(C418,"mmmm"))</f>
        <v/>
      </c>
      <c r="B418" s="16">
        <f>IF(C418="","","Semana "&amp;ROUNDUP(DAY(C418)/7,0))</f>
        <v/>
      </c>
      <c r="C418" s="34" t="n"/>
      <c r="D418" s="16">
        <f>IF(C418="","",TEXT(C418,"dddd"))</f>
        <v/>
      </c>
      <c r="E418" s="16" t="n"/>
      <c r="F418" s="16">
        <f>IF(G418&lt;&gt;"",IF(LEFT(UPPER(TRIM(G418)),1)="V","Drogaria Venancio",""),IF(H418&lt;&gt;"","Cristal",""))</f>
        <v/>
      </c>
      <c r="G418" s="16" t="n"/>
      <c r="H418" s="16" t="n"/>
      <c r="I418" s="16" t="n"/>
      <c r="J418" s="16" t="n"/>
      <c r="K418" s="16" t="n"/>
      <c r="L418" s="16" t="n"/>
      <c r="M418" s="35">
        <f>IF(I418="","",HYPERLINK("https://www.google.com/maps/search/?api=1&amp;query="&amp;SUBSTITUTE(I418&amp;", "&amp;J418&amp;", Rio de Janeiro"," ","+"),"Abrir no Maps"))</f>
        <v/>
      </c>
    </row>
    <row r="419">
      <c r="A419" s="20">
        <f>IF(C419="","",TEXT(C419,"mmmm"))</f>
        <v/>
      </c>
      <c r="B419" s="20">
        <f>IF(C419="","","Semana "&amp;ROUNDUP(DAY(C419)/7,0))</f>
        <v/>
      </c>
      <c r="C419" s="36" t="n"/>
      <c r="D419" s="20">
        <f>IF(C419="","",TEXT(C419,"dddd"))</f>
        <v/>
      </c>
      <c r="E419" s="20" t="n"/>
      <c r="F419" s="20">
        <f>IF(G419&lt;&gt;"",IF(LEFT(UPPER(TRIM(G419)),1)="V","Drogaria Venancio",""),IF(H419&lt;&gt;"","Cristal",""))</f>
        <v/>
      </c>
      <c r="G419" s="20" t="n"/>
      <c r="H419" s="20" t="n"/>
      <c r="I419" s="20" t="n"/>
      <c r="J419" s="20" t="n"/>
      <c r="K419" s="20" t="n"/>
      <c r="L419" s="20" t="n"/>
      <c r="M419" s="37">
        <f>IF(I419="","",HYPERLINK("https://www.google.com/maps/search/?api=1&amp;query="&amp;SUBSTITUTE(I419&amp;", "&amp;J419&amp;", Rio de Janeiro"," ","+"),"Abrir no Maps"))</f>
        <v/>
      </c>
    </row>
    <row r="420">
      <c r="A420" s="16">
        <f>IF(C420="","",TEXT(C420,"mmmm"))</f>
        <v/>
      </c>
      <c r="B420" s="16">
        <f>IF(C420="","","Semana "&amp;ROUNDUP(DAY(C420)/7,0))</f>
        <v/>
      </c>
      <c r="C420" s="34" t="n"/>
      <c r="D420" s="16">
        <f>IF(C420="","",TEXT(C420,"dddd"))</f>
        <v/>
      </c>
      <c r="E420" s="16" t="n"/>
      <c r="F420" s="16">
        <f>IF(G420&lt;&gt;"",IF(LEFT(UPPER(TRIM(G420)),1)="V","Drogaria Venancio",""),IF(H420&lt;&gt;"","Cristal",""))</f>
        <v/>
      </c>
      <c r="G420" s="16" t="n"/>
      <c r="H420" s="16" t="n"/>
      <c r="I420" s="16" t="n"/>
      <c r="J420" s="16" t="n"/>
      <c r="K420" s="16" t="n"/>
      <c r="L420" s="16" t="n"/>
      <c r="M420" s="35">
        <f>IF(I420="","",HYPERLINK("https://www.google.com/maps/search/?api=1&amp;query="&amp;SUBSTITUTE(I420&amp;", "&amp;J420&amp;", Rio de Janeiro"," ","+"),"Abrir no Maps"))</f>
        <v/>
      </c>
    </row>
    <row r="421">
      <c r="A421" s="20">
        <f>IF(C421="","",TEXT(C421,"mmmm"))</f>
        <v/>
      </c>
      <c r="B421" s="20">
        <f>IF(C421="","","Semana "&amp;ROUNDUP(DAY(C421)/7,0))</f>
        <v/>
      </c>
      <c r="C421" s="36" t="n"/>
      <c r="D421" s="20">
        <f>IF(C421="","",TEXT(C421,"dddd"))</f>
        <v/>
      </c>
      <c r="E421" s="20" t="n"/>
      <c r="F421" s="20">
        <f>IF(G421&lt;&gt;"",IF(LEFT(UPPER(TRIM(G421)),1)="V","Drogaria Venancio",""),IF(H421&lt;&gt;"","Cristal",""))</f>
        <v/>
      </c>
      <c r="G421" s="20" t="n"/>
      <c r="H421" s="20" t="n"/>
      <c r="I421" s="20" t="n"/>
      <c r="J421" s="20" t="n"/>
      <c r="K421" s="20" t="n"/>
      <c r="L421" s="20" t="n"/>
      <c r="M421" s="37">
        <f>IF(I421="","",HYPERLINK("https://www.google.com/maps/search/?api=1&amp;query="&amp;SUBSTITUTE(I421&amp;", "&amp;J421&amp;", Rio de Janeiro"," ","+"),"Abrir no Maps"))</f>
        <v/>
      </c>
    </row>
    <row r="422">
      <c r="A422" s="16">
        <f>IF(C422="","",TEXT(C422,"mmmm"))</f>
        <v/>
      </c>
      <c r="B422" s="16">
        <f>IF(C422="","","Semana "&amp;ROUNDUP(DAY(C422)/7,0))</f>
        <v/>
      </c>
      <c r="C422" s="34" t="n"/>
      <c r="D422" s="16">
        <f>IF(C422="","",TEXT(C422,"dddd"))</f>
        <v/>
      </c>
      <c r="E422" s="16" t="n"/>
      <c r="F422" s="16">
        <f>IF(G422&lt;&gt;"",IF(LEFT(UPPER(TRIM(G422)),1)="V","Drogaria Venancio",""),IF(H422&lt;&gt;"","Cristal",""))</f>
        <v/>
      </c>
      <c r="G422" s="16" t="n"/>
      <c r="H422" s="16" t="n"/>
      <c r="I422" s="16" t="n"/>
      <c r="J422" s="16" t="n"/>
      <c r="K422" s="16" t="n"/>
      <c r="L422" s="16" t="n"/>
      <c r="M422" s="35">
        <f>IF(I422="","",HYPERLINK("https://www.google.com/maps/search/?api=1&amp;query="&amp;SUBSTITUTE(I422&amp;", "&amp;J422&amp;", Rio de Janeiro"," ","+"),"Abrir no Maps"))</f>
        <v/>
      </c>
    </row>
    <row r="423">
      <c r="A423" s="20">
        <f>IF(C423="","",TEXT(C423,"mmmm"))</f>
        <v/>
      </c>
      <c r="B423" s="20">
        <f>IF(C423="","","Semana "&amp;ROUNDUP(DAY(C423)/7,0))</f>
        <v/>
      </c>
      <c r="C423" s="36" t="n"/>
      <c r="D423" s="20">
        <f>IF(C423="","",TEXT(C423,"dddd"))</f>
        <v/>
      </c>
      <c r="E423" s="20" t="n"/>
      <c r="F423" s="20">
        <f>IF(G423&lt;&gt;"",IF(LEFT(UPPER(TRIM(G423)),1)="V","Drogaria Venancio",""),IF(H423&lt;&gt;"","Cristal",""))</f>
        <v/>
      </c>
      <c r="G423" s="20" t="n"/>
      <c r="H423" s="20" t="n"/>
      <c r="I423" s="20" t="n"/>
      <c r="J423" s="20" t="n"/>
      <c r="K423" s="20" t="n"/>
      <c r="L423" s="20" t="n"/>
      <c r="M423" s="37">
        <f>IF(I423="","",HYPERLINK("https://www.google.com/maps/search/?api=1&amp;query="&amp;SUBSTITUTE(I423&amp;", "&amp;J423&amp;", Rio de Janeiro"," ","+"),"Abrir no Maps"))</f>
        <v/>
      </c>
    </row>
    <row r="424">
      <c r="A424" s="16">
        <f>IF(C424="","",TEXT(C424,"mmmm"))</f>
        <v/>
      </c>
      <c r="B424" s="16">
        <f>IF(C424="","","Semana "&amp;ROUNDUP(DAY(C424)/7,0))</f>
        <v/>
      </c>
      <c r="C424" s="34" t="n"/>
      <c r="D424" s="16">
        <f>IF(C424="","",TEXT(C424,"dddd"))</f>
        <v/>
      </c>
      <c r="E424" s="16" t="n"/>
      <c r="F424" s="16">
        <f>IF(G424&lt;&gt;"",IF(LEFT(UPPER(TRIM(G424)),1)="V","Drogaria Venancio",""),IF(H424&lt;&gt;"","Cristal",""))</f>
        <v/>
      </c>
      <c r="G424" s="16" t="n"/>
      <c r="H424" s="16" t="n"/>
      <c r="I424" s="16" t="n"/>
      <c r="J424" s="16" t="n"/>
      <c r="K424" s="16" t="n"/>
      <c r="L424" s="16" t="n"/>
      <c r="M424" s="35">
        <f>IF(I424="","",HYPERLINK("https://www.google.com/maps/search/?api=1&amp;query="&amp;SUBSTITUTE(I424&amp;", "&amp;J424&amp;", Rio de Janeiro"," ","+"),"Abrir no Maps"))</f>
        <v/>
      </c>
    </row>
    <row r="425">
      <c r="A425" s="20">
        <f>IF(C425="","",TEXT(C425,"mmmm"))</f>
        <v/>
      </c>
      <c r="B425" s="20">
        <f>IF(C425="","","Semana "&amp;ROUNDUP(DAY(C425)/7,0))</f>
        <v/>
      </c>
      <c r="C425" s="36" t="n"/>
      <c r="D425" s="20">
        <f>IF(C425="","",TEXT(C425,"dddd"))</f>
        <v/>
      </c>
      <c r="E425" s="20" t="n"/>
      <c r="F425" s="20">
        <f>IF(G425&lt;&gt;"",IF(LEFT(UPPER(TRIM(G425)),1)="V","Drogaria Venancio",""),IF(H425&lt;&gt;"","Cristal",""))</f>
        <v/>
      </c>
      <c r="G425" s="20" t="n"/>
      <c r="H425" s="20" t="n"/>
      <c r="I425" s="20" t="n"/>
      <c r="J425" s="20" t="n"/>
      <c r="K425" s="20" t="n"/>
      <c r="L425" s="20" t="n"/>
      <c r="M425" s="37">
        <f>IF(I425="","",HYPERLINK("https://www.google.com/maps/search/?api=1&amp;query="&amp;SUBSTITUTE(I425&amp;", "&amp;J425&amp;", Rio de Janeiro"," ","+"),"Abrir no Maps"))</f>
        <v/>
      </c>
    </row>
    <row r="426">
      <c r="A426" s="16">
        <f>IF(C426="","",TEXT(C426,"mmmm"))</f>
        <v/>
      </c>
      <c r="B426" s="16">
        <f>IF(C426="","","Semana "&amp;ROUNDUP(DAY(C426)/7,0))</f>
        <v/>
      </c>
      <c r="C426" s="34" t="n"/>
      <c r="D426" s="16">
        <f>IF(C426="","",TEXT(C426,"dddd"))</f>
        <v/>
      </c>
      <c r="E426" s="16" t="n"/>
      <c r="F426" s="16">
        <f>IF(G426&lt;&gt;"",IF(LEFT(UPPER(TRIM(G426)),1)="V","Drogaria Venancio",""),IF(H426&lt;&gt;"","Cristal",""))</f>
        <v/>
      </c>
      <c r="G426" s="16" t="n"/>
      <c r="H426" s="16" t="n"/>
      <c r="I426" s="16" t="n"/>
      <c r="J426" s="16" t="n"/>
      <c r="K426" s="16" t="n"/>
      <c r="L426" s="16" t="n"/>
      <c r="M426" s="35">
        <f>IF(I426="","",HYPERLINK("https://www.google.com/maps/search/?api=1&amp;query="&amp;SUBSTITUTE(I426&amp;", "&amp;J426&amp;", Rio de Janeiro"," ","+"),"Abrir no Maps"))</f>
        <v/>
      </c>
    </row>
    <row r="427">
      <c r="A427" s="20">
        <f>IF(C427="","",TEXT(C427,"mmmm"))</f>
        <v/>
      </c>
      <c r="B427" s="20">
        <f>IF(C427="","","Semana "&amp;ROUNDUP(DAY(C427)/7,0))</f>
        <v/>
      </c>
      <c r="C427" s="36" t="n"/>
      <c r="D427" s="20">
        <f>IF(C427="","",TEXT(C427,"dddd"))</f>
        <v/>
      </c>
      <c r="E427" s="20" t="n"/>
      <c r="F427" s="20">
        <f>IF(G427&lt;&gt;"",IF(LEFT(UPPER(TRIM(G427)),1)="V","Drogaria Venancio",""),IF(H427&lt;&gt;"","Cristal",""))</f>
        <v/>
      </c>
      <c r="G427" s="20" t="n"/>
      <c r="H427" s="20" t="n"/>
      <c r="I427" s="20" t="n"/>
      <c r="J427" s="20" t="n"/>
      <c r="K427" s="20" t="n"/>
      <c r="L427" s="20" t="n"/>
      <c r="M427" s="37">
        <f>IF(I427="","",HYPERLINK("https://www.google.com/maps/search/?api=1&amp;query="&amp;SUBSTITUTE(I427&amp;", "&amp;J427&amp;", Rio de Janeiro"," ","+"),"Abrir no Maps"))</f>
        <v/>
      </c>
    </row>
    <row r="428">
      <c r="A428" s="16">
        <f>IF(C428="","",TEXT(C428,"mmmm"))</f>
        <v/>
      </c>
      <c r="B428" s="16">
        <f>IF(C428="","","Semana "&amp;ROUNDUP(DAY(C428)/7,0))</f>
        <v/>
      </c>
      <c r="C428" s="34" t="n"/>
      <c r="D428" s="16">
        <f>IF(C428="","",TEXT(C428,"dddd"))</f>
        <v/>
      </c>
      <c r="E428" s="16" t="n"/>
      <c r="F428" s="16">
        <f>IF(G428&lt;&gt;"",IF(LEFT(UPPER(TRIM(G428)),1)="V","Drogaria Venancio",""),IF(H428&lt;&gt;"","Cristal",""))</f>
        <v/>
      </c>
      <c r="G428" s="16" t="n"/>
      <c r="H428" s="16" t="n"/>
      <c r="I428" s="16" t="n"/>
      <c r="J428" s="16" t="n"/>
      <c r="K428" s="16" t="n"/>
      <c r="L428" s="16" t="n"/>
      <c r="M428" s="35">
        <f>IF(I428="","",HYPERLINK("https://www.google.com/maps/search/?api=1&amp;query="&amp;SUBSTITUTE(I428&amp;", "&amp;J428&amp;", Rio de Janeiro"," ","+"),"Abrir no Maps"))</f>
        <v/>
      </c>
    </row>
    <row r="429">
      <c r="A429" s="20">
        <f>IF(C429="","",TEXT(C429,"mmmm"))</f>
        <v/>
      </c>
      <c r="B429" s="20">
        <f>IF(C429="","","Semana "&amp;ROUNDUP(DAY(C429)/7,0))</f>
        <v/>
      </c>
      <c r="C429" s="36" t="n"/>
      <c r="D429" s="20">
        <f>IF(C429="","",TEXT(C429,"dddd"))</f>
        <v/>
      </c>
      <c r="E429" s="20" t="n"/>
      <c r="F429" s="20">
        <f>IF(G429&lt;&gt;"",IF(LEFT(UPPER(TRIM(G429)),1)="V","Drogaria Venancio",""),IF(H429&lt;&gt;"","Cristal",""))</f>
        <v/>
      </c>
      <c r="G429" s="20" t="n"/>
      <c r="H429" s="20" t="n"/>
      <c r="I429" s="20" t="n"/>
      <c r="J429" s="20" t="n"/>
      <c r="K429" s="20" t="n"/>
      <c r="L429" s="20" t="n"/>
      <c r="M429" s="37">
        <f>IF(I429="","",HYPERLINK("https://www.google.com/maps/search/?api=1&amp;query="&amp;SUBSTITUTE(I429&amp;", "&amp;J429&amp;", Rio de Janeiro"," ","+"),"Abrir no Maps"))</f>
        <v/>
      </c>
    </row>
    <row r="430">
      <c r="A430" s="16">
        <f>IF(C430="","",TEXT(C430,"mmmm"))</f>
        <v/>
      </c>
      <c r="B430" s="16">
        <f>IF(C430="","","Semana "&amp;ROUNDUP(DAY(C430)/7,0))</f>
        <v/>
      </c>
      <c r="C430" s="34" t="n"/>
      <c r="D430" s="16">
        <f>IF(C430="","",TEXT(C430,"dddd"))</f>
        <v/>
      </c>
      <c r="E430" s="16" t="n"/>
      <c r="F430" s="16">
        <f>IF(G430&lt;&gt;"",IF(LEFT(UPPER(TRIM(G430)),1)="V","Drogaria Venancio",""),IF(H430&lt;&gt;"","Cristal",""))</f>
        <v/>
      </c>
      <c r="G430" s="16" t="n"/>
      <c r="H430" s="16" t="n"/>
      <c r="I430" s="16" t="n"/>
      <c r="J430" s="16" t="n"/>
      <c r="K430" s="16" t="n"/>
      <c r="L430" s="16" t="n"/>
      <c r="M430" s="35">
        <f>IF(I430="","",HYPERLINK("https://www.google.com/maps/search/?api=1&amp;query="&amp;SUBSTITUTE(I430&amp;", "&amp;J430&amp;", Rio de Janeiro"," ","+"),"Abrir no Maps"))</f>
        <v/>
      </c>
    </row>
    <row r="431">
      <c r="A431" s="20">
        <f>IF(C431="","",TEXT(C431,"mmmm"))</f>
        <v/>
      </c>
      <c r="B431" s="20">
        <f>IF(C431="","","Semana "&amp;ROUNDUP(DAY(C431)/7,0))</f>
        <v/>
      </c>
      <c r="C431" s="36" t="n"/>
      <c r="D431" s="20">
        <f>IF(C431="","",TEXT(C431,"dddd"))</f>
        <v/>
      </c>
      <c r="E431" s="20" t="n"/>
      <c r="F431" s="20">
        <f>IF(G431&lt;&gt;"",IF(LEFT(UPPER(TRIM(G431)),1)="V","Drogaria Venancio",""),IF(H431&lt;&gt;"","Cristal",""))</f>
        <v/>
      </c>
      <c r="G431" s="20" t="n"/>
      <c r="H431" s="20" t="n"/>
      <c r="I431" s="20" t="n"/>
      <c r="J431" s="20" t="n"/>
      <c r="K431" s="20" t="n"/>
      <c r="L431" s="20" t="n"/>
      <c r="M431" s="37">
        <f>IF(I431="","",HYPERLINK("https://www.google.com/maps/search/?api=1&amp;query="&amp;SUBSTITUTE(I431&amp;", "&amp;J431&amp;", Rio de Janeiro"," ","+"),"Abrir no Maps"))</f>
        <v/>
      </c>
    </row>
    <row r="432">
      <c r="A432" s="16">
        <f>IF(C432="","",TEXT(C432,"mmmm"))</f>
        <v/>
      </c>
      <c r="B432" s="16">
        <f>IF(C432="","","Semana "&amp;ROUNDUP(DAY(C432)/7,0))</f>
        <v/>
      </c>
      <c r="C432" s="34" t="n"/>
      <c r="D432" s="16">
        <f>IF(C432="","",TEXT(C432,"dddd"))</f>
        <v/>
      </c>
      <c r="E432" s="16" t="n"/>
      <c r="F432" s="16">
        <f>IF(G432&lt;&gt;"",IF(LEFT(UPPER(TRIM(G432)),1)="V","Drogaria Venancio",""),IF(H432&lt;&gt;"","Cristal",""))</f>
        <v/>
      </c>
      <c r="G432" s="16" t="n"/>
      <c r="H432" s="16" t="n"/>
      <c r="I432" s="16" t="n"/>
      <c r="J432" s="16" t="n"/>
      <c r="K432" s="16" t="n"/>
      <c r="L432" s="16" t="n"/>
      <c r="M432" s="35">
        <f>IF(I432="","",HYPERLINK("https://www.google.com/maps/search/?api=1&amp;query="&amp;SUBSTITUTE(I432&amp;", "&amp;J432&amp;", Rio de Janeiro"," ","+"),"Abrir no Maps"))</f>
        <v/>
      </c>
    </row>
    <row r="433">
      <c r="A433" s="20">
        <f>IF(C433="","",TEXT(C433,"mmmm"))</f>
        <v/>
      </c>
      <c r="B433" s="20">
        <f>IF(C433="","","Semana "&amp;ROUNDUP(DAY(C433)/7,0))</f>
        <v/>
      </c>
      <c r="C433" s="36" t="n"/>
      <c r="D433" s="20">
        <f>IF(C433="","",TEXT(C433,"dddd"))</f>
        <v/>
      </c>
      <c r="E433" s="20" t="n"/>
      <c r="F433" s="20">
        <f>IF(G433&lt;&gt;"",IF(LEFT(UPPER(TRIM(G433)),1)="V","Drogaria Venancio",""),IF(H433&lt;&gt;"","Cristal",""))</f>
        <v/>
      </c>
      <c r="G433" s="20" t="n"/>
      <c r="H433" s="20" t="n"/>
      <c r="I433" s="20" t="n"/>
      <c r="J433" s="20" t="n"/>
      <c r="K433" s="20" t="n"/>
      <c r="L433" s="20" t="n"/>
      <c r="M433" s="37">
        <f>IF(I433="","",HYPERLINK("https://www.google.com/maps/search/?api=1&amp;query="&amp;SUBSTITUTE(I433&amp;", "&amp;J433&amp;", Rio de Janeiro"," ","+"),"Abrir no Maps"))</f>
        <v/>
      </c>
    </row>
    <row r="434">
      <c r="A434" s="16">
        <f>IF(C434="","",TEXT(C434,"mmmm"))</f>
        <v/>
      </c>
      <c r="B434" s="16">
        <f>IF(C434="","","Semana "&amp;ROUNDUP(DAY(C434)/7,0))</f>
        <v/>
      </c>
      <c r="C434" s="34" t="n"/>
      <c r="D434" s="16">
        <f>IF(C434="","",TEXT(C434,"dddd"))</f>
        <v/>
      </c>
      <c r="E434" s="16" t="n"/>
      <c r="F434" s="16">
        <f>IF(G434&lt;&gt;"",IF(LEFT(UPPER(TRIM(G434)),1)="V","Drogaria Venancio",""),IF(H434&lt;&gt;"","Cristal",""))</f>
        <v/>
      </c>
      <c r="G434" s="16" t="n"/>
      <c r="H434" s="16" t="n"/>
      <c r="I434" s="16" t="n"/>
      <c r="J434" s="16" t="n"/>
      <c r="K434" s="16" t="n"/>
      <c r="L434" s="16" t="n"/>
      <c r="M434" s="35">
        <f>IF(I434="","",HYPERLINK("https://www.google.com/maps/search/?api=1&amp;query="&amp;SUBSTITUTE(I434&amp;", "&amp;J434&amp;", Rio de Janeiro"," ","+"),"Abrir no Maps"))</f>
        <v/>
      </c>
    </row>
    <row r="435">
      <c r="A435" s="20">
        <f>IF(C435="","",TEXT(C435,"mmmm"))</f>
        <v/>
      </c>
      <c r="B435" s="20">
        <f>IF(C435="","","Semana "&amp;ROUNDUP(DAY(C435)/7,0))</f>
        <v/>
      </c>
      <c r="C435" s="36" t="n"/>
      <c r="D435" s="20">
        <f>IF(C435="","",TEXT(C435,"dddd"))</f>
        <v/>
      </c>
      <c r="E435" s="20" t="n"/>
      <c r="F435" s="20">
        <f>IF(G435&lt;&gt;"",IF(LEFT(UPPER(TRIM(G435)),1)="V","Drogaria Venancio",""),IF(H435&lt;&gt;"","Cristal",""))</f>
        <v/>
      </c>
      <c r="G435" s="20" t="n"/>
      <c r="H435" s="20" t="n"/>
      <c r="I435" s="20" t="n"/>
      <c r="J435" s="20" t="n"/>
      <c r="K435" s="20" t="n"/>
      <c r="L435" s="20" t="n"/>
      <c r="M435" s="37">
        <f>IF(I435="","",HYPERLINK("https://www.google.com/maps/search/?api=1&amp;query="&amp;SUBSTITUTE(I435&amp;", "&amp;J435&amp;", Rio de Janeiro"," ","+"),"Abrir no Maps"))</f>
        <v/>
      </c>
    </row>
    <row r="436">
      <c r="A436" s="16">
        <f>IF(C436="","",TEXT(C436,"mmmm"))</f>
        <v/>
      </c>
      <c r="B436" s="16">
        <f>IF(C436="","","Semana "&amp;ROUNDUP(DAY(C436)/7,0))</f>
        <v/>
      </c>
      <c r="C436" s="34" t="n"/>
      <c r="D436" s="16">
        <f>IF(C436="","",TEXT(C436,"dddd"))</f>
        <v/>
      </c>
      <c r="E436" s="16" t="n"/>
      <c r="F436" s="16">
        <f>IF(G436&lt;&gt;"",IF(LEFT(UPPER(TRIM(G436)),1)="V","Drogaria Venancio",""),IF(H436&lt;&gt;"","Cristal",""))</f>
        <v/>
      </c>
      <c r="G436" s="16" t="n"/>
      <c r="H436" s="16" t="n"/>
      <c r="I436" s="16" t="n"/>
      <c r="J436" s="16" t="n"/>
      <c r="K436" s="16" t="n"/>
      <c r="L436" s="16" t="n"/>
      <c r="M436" s="35">
        <f>IF(I436="","",HYPERLINK("https://www.google.com/maps/search/?api=1&amp;query="&amp;SUBSTITUTE(I436&amp;", "&amp;J436&amp;", Rio de Janeiro"," ","+"),"Abrir no Maps"))</f>
        <v/>
      </c>
    </row>
    <row r="437">
      <c r="A437" s="20">
        <f>IF(C437="","",TEXT(C437,"mmmm"))</f>
        <v/>
      </c>
      <c r="B437" s="20">
        <f>IF(C437="","","Semana "&amp;ROUNDUP(DAY(C437)/7,0))</f>
        <v/>
      </c>
      <c r="C437" s="36" t="n"/>
      <c r="D437" s="20">
        <f>IF(C437="","",TEXT(C437,"dddd"))</f>
        <v/>
      </c>
      <c r="E437" s="20" t="n"/>
      <c r="F437" s="20">
        <f>IF(G437&lt;&gt;"",IF(LEFT(UPPER(TRIM(G437)),1)="V","Drogaria Venancio",""),IF(H437&lt;&gt;"","Cristal",""))</f>
        <v/>
      </c>
      <c r="G437" s="20" t="n"/>
      <c r="H437" s="20" t="n"/>
      <c r="I437" s="20" t="n"/>
      <c r="J437" s="20" t="n"/>
      <c r="K437" s="20" t="n"/>
      <c r="L437" s="20" t="n"/>
      <c r="M437" s="37">
        <f>IF(I437="","",HYPERLINK("https://www.google.com/maps/search/?api=1&amp;query="&amp;SUBSTITUTE(I437&amp;", "&amp;J437&amp;", Rio de Janeiro"," ","+"),"Abrir no Maps"))</f>
        <v/>
      </c>
    </row>
    <row r="438">
      <c r="A438" s="16">
        <f>IF(C438="","",TEXT(C438,"mmmm"))</f>
        <v/>
      </c>
      <c r="B438" s="16">
        <f>IF(C438="","","Semana "&amp;ROUNDUP(DAY(C438)/7,0))</f>
        <v/>
      </c>
      <c r="C438" s="34" t="n"/>
      <c r="D438" s="16">
        <f>IF(C438="","",TEXT(C438,"dddd"))</f>
        <v/>
      </c>
      <c r="E438" s="16" t="n"/>
      <c r="F438" s="16">
        <f>IF(G438&lt;&gt;"",IF(LEFT(UPPER(TRIM(G438)),1)="V","Drogaria Venancio",""),IF(H438&lt;&gt;"","Cristal",""))</f>
        <v/>
      </c>
      <c r="G438" s="16" t="n"/>
      <c r="H438" s="16" t="n"/>
      <c r="I438" s="16" t="n"/>
      <c r="J438" s="16" t="n"/>
      <c r="K438" s="16" t="n"/>
      <c r="L438" s="16" t="n"/>
      <c r="M438" s="35">
        <f>IF(I438="","",HYPERLINK("https://www.google.com/maps/search/?api=1&amp;query="&amp;SUBSTITUTE(I438&amp;", "&amp;J438&amp;", Rio de Janeiro"," ","+"),"Abrir no Maps"))</f>
        <v/>
      </c>
    </row>
    <row r="439">
      <c r="A439" s="20">
        <f>IF(C439="","",TEXT(C439,"mmmm"))</f>
        <v/>
      </c>
      <c r="B439" s="20">
        <f>IF(C439="","","Semana "&amp;ROUNDUP(DAY(C439)/7,0))</f>
        <v/>
      </c>
      <c r="C439" s="36" t="n"/>
      <c r="D439" s="20">
        <f>IF(C439="","",TEXT(C439,"dddd"))</f>
        <v/>
      </c>
      <c r="E439" s="20" t="n"/>
      <c r="F439" s="20">
        <f>IF(G439&lt;&gt;"",IF(LEFT(UPPER(TRIM(G439)),1)="V","Drogaria Venancio",""),IF(H439&lt;&gt;"","Cristal",""))</f>
        <v/>
      </c>
      <c r="G439" s="20" t="n"/>
      <c r="H439" s="20" t="n"/>
      <c r="I439" s="20" t="n"/>
      <c r="J439" s="20" t="n"/>
      <c r="K439" s="20" t="n"/>
      <c r="L439" s="20" t="n"/>
      <c r="M439" s="37">
        <f>IF(I439="","",HYPERLINK("https://www.google.com/maps/search/?api=1&amp;query="&amp;SUBSTITUTE(I439&amp;", "&amp;J439&amp;", Rio de Janeiro"," ","+"),"Abrir no Maps"))</f>
        <v/>
      </c>
    </row>
    <row r="440">
      <c r="A440" s="16">
        <f>IF(C440="","",TEXT(C440,"mmmm"))</f>
        <v/>
      </c>
      <c r="B440" s="16">
        <f>IF(C440="","","Semana "&amp;ROUNDUP(DAY(C440)/7,0))</f>
        <v/>
      </c>
      <c r="C440" s="34" t="n"/>
      <c r="D440" s="16">
        <f>IF(C440="","",TEXT(C440,"dddd"))</f>
        <v/>
      </c>
      <c r="E440" s="16" t="n"/>
      <c r="F440" s="16">
        <f>IF(G440&lt;&gt;"",IF(LEFT(UPPER(TRIM(G440)),1)="V","Drogaria Venancio",""),IF(H440&lt;&gt;"","Cristal",""))</f>
        <v/>
      </c>
      <c r="G440" s="16" t="n"/>
      <c r="H440" s="16" t="n"/>
      <c r="I440" s="16" t="n"/>
      <c r="J440" s="16" t="n"/>
      <c r="K440" s="16" t="n"/>
      <c r="L440" s="16" t="n"/>
      <c r="M440" s="35">
        <f>IF(I440="","",HYPERLINK("https://www.google.com/maps/search/?api=1&amp;query="&amp;SUBSTITUTE(I440&amp;", "&amp;J440&amp;", Rio de Janeiro"," ","+"),"Abrir no Maps"))</f>
        <v/>
      </c>
    </row>
    <row r="441">
      <c r="A441" s="20">
        <f>IF(C441="","",TEXT(C441,"mmmm"))</f>
        <v/>
      </c>
      <c r="B441" s="20">
        <f>IF(C441="","","Semana "&amp;ROUNDUP(DAY(C441)/7,0))</f>
        <v/>
      </c>
      <c r="C441" s="36" t="n"/>
      <c r="D441" s="20">
        <f>IF(C441="","",TEXT(C441,"dddd"))</f>
        <v/>
      </c>
      <c r="E441" s="20" t="n"/>
      <c r="F441" s="20">
        <f>IF(G441&lt;&gt;"",IF(LEFT(UPPER(TRIM(G441)),1)="V","Drogaria Venancio",""),IF(H441&lt;&gt;"","Cristal",""))</f>
        <v/>
      </c>
      <c r="G441" s="20" t="n"/>
      <c r="H441" s="20" t="n"/>
      <c r="I441" s="20" t="n"/>
      <c r="J441" s="20" t="n"/>
      <c r="K441" s="20" t="n"/>
      <c r="L441" s="20" t="n"/>
      <c r="M441" s="37">
        <f>IF(I441="","",HYPERLINK("https://www.google.com/maps/search/?api=1&amp;query="&amp;SUBSTITUTE(I441&amp;", "&amp;J441&amp;", Rio de Janeiro"," ","+"),"Abrir no Maps"))</f>
        <v/>
      </c>
    </row>
    <row r="442">
      <c r="A442" s="16">
        <f>IF(C442="","",TEXT(C442,"mmmm"))</f>
        <v/>
      </c>
      <c r="B442" s="16">
        <f>IF(C442="","","Semana "&amp;ROUNDUP(DAY(C442)/7,0))</f>
        <v/>
      </c>
      <c r="C442" s="34" t="n"/>
      <c r="D442" s="16">
        <f>IF(C442="","",TEXT(C442,"dddd"))</f>
        <v/>
      </c>
      <c r="E442" s="16" t="n"/>
      <c r="F442" s="16">
        <f>IF(G442&lt;&gt;"",IF(LEFT(UPPER(TRIM(G442)),1)="V","Drogaria Venancio",""),IF(H442&lt;&gt;"","Cristal",""))</f>
        <v/>
      </c>
      <c r="G442" s="16" t="n"/>
      <c r="H442" s="16" t="n"/>
      <c r="I442" s="16" t="n"/>
      <c r="J442" s="16" t="n"/>
      <c r="K442" s="16" t="n"/>
      <c r="L442" s="16" t="n"/>
      <c r="M442" s="35">
        <f>IF(I442="","",HYPERLINK("https://www.google.com/maps/search/?api=1&amp;query="&amp;SUBSTITUTE(I442&amp;", "&amp;J442&amp;", Rio de Janeiro"," ","+"),"Abrir no Maps"))</f>
        <v/>
      </c>
    </row>
    <row r="443">
      <c r="A443" s="20">
        <f>IF(C443="","",TEXT(C443,"mmmm"))</f>
        <v/>
      </c>
      <c r="B443" s="20">
        <f>IF(C443="","","Semana "&amp;ROUNDUP(DAY(C443)/7,0))</f>
        <v/>
      </c>
      <c r="C443" s="36" t="n"/>
      <c r="D443" s="20">
        <f>IF(C443="","",TEXT(C443,"dddd"))</f>
        <v/>
      </c>
      <c r="E443" s="20" t="n"/>
      <c r="F443" s="20">
        <f>IF(G443&lt;&gt;"",IF(LEFT(UPPER(TRIM(G443)),1)="V","Drogaria Venancio",""),IF(H443&lt;&gt;"","Cristal",""))</f>
        <v/>
      </c>
      <c r="G443" s="20" t="n"/>
      <c r="H443" s="20" t="n"/>
      <c r="I443" s="20" t="n"/>
      <c r="J443" s="20" t="n"/>
      <c r="K443" s="20" t="n"/>
      <c r="L443" s="20" t="n"/>
      <c r="M443" s="37">
        <f>IF(I443="","",HYPERLINK("https://www.google.com/maps/search/?api=1&amp;query="&amp;SUBSTITUTE(I443&amp;", "&amp;J443&amp;", Rio de Janeiro"," ","+"),"Abrir no Maps"))</f>
        <v/>
      </c>
    </row>
    <row r="444">
      <c r="A444" s="16">
        <f>IF(C444="","",TEXT(C444,"mmmm"))</f>
        <v/>
      </c>
      <c r="B444" s="16">
        <f>IF(C444="","","Semana "&amp;ROUNDUP(DAY(C444)/7,0))</f>
        <v/>
      </c>
      <c r="C444" s="34" t="n"/>
      <c r="D444" s="16">
        <f>IF(C444="","",TEXT(C444,"dddd"))</f>
        <v/>
      </c>
      <c r="E444" s="16" t="n"/>
      <c r="F444" s="16">
        <f>IF(G444&lt;&gt;"",IF(LEFT(UPPER(TRIM(G444)),1)="V","Drogaria Venancio",""),IF(H444&lt;&gt;"","Cristal",""))</f>
        <v/>
      </c>
      <c r="G444" s="16" t="n"/>
      <c r="H444" s="16" t="n"/>
      <c r="I444" s="16" t="n"/>
      <c r="J444" s="16" t="n"/>
      <c r="K444" s="16" t="n"/>
      <c r="L444" s="16" t="n"/>
      <c r="M444" s="35">
        <f>IF(I444="","",HYPERLINK("https://www.google.com/maps/search/?api=1&amp;query="&amp;SUBSTITUTE(I444&amp;", "&amp;J444&amp;", Rio de Janeiro"," ","+"),"Abrir no Maps"))</f>
        <v/>
      </c>
    </row>
    <row r="445">
      <c r="A445" s="20">
        <f>IF(C445="","",TEXT(C445,"mmmm"))</f>
        <v/>
      </c>
      <c r="B445" s="20">
        <f>IF(C445="","","Semana "&amp;ROUNDUP(DAY(C445)/7,0))</f>
        <v/>
      </c>
      <c r="C445" s="36" t="n"/>
      <c r="D445" s="20">
        <f>IF(C445="","",TEXT(C445,"dddd"))</f>
        <v/>
      </c>
      <c r="E445" s="20" t="n"/>
      <c r="F445" s="20">
        <f>IF(G445&lt;&gt;"",IF(LEFT(UPPER(TRIM(G445)),1)="V","Drogaria Venancio",""),IF(H445&lt;&gt;"","Cristal",""))</f>
        <v/>
      </c>
      <c r="G445" s="20" t="n"/>
      <c r="H445" s="20" t="n"/>
      <c r="I445" s="20" t="n"/>
      <c r="J445" s="20" t="n"/>
      <c r="K445" s="20" t="n"/>
      <c r="L445" s="20" t="n"/>
      <c r="M445" s="37">
        <f>IF(I445="","",HYPERLINK("https://www.google.com/maps/search/?api=1&amp;query="&amp;SUBSTITUTE(I445&amp;", "&amp;J445&amp;", Rio de Janeiro"," ","+"),"Abrir no Maps"))</f>
        <v/>
      </c>
    </row>
    <row r="446">
      <c r="A446" s="16">
        <f>IF(C446="","",TEXT(C446,"mmmm"))</f>
        <v/>
      </c>
      <c r="B446" s="16">
        <f>IF(C446="","","Semana "&amp;ROUNDUP(DAY(C446)/7,0))</f>
        <v/>
      </c>
      <c r="C446" s="34" t="n"/>
      <c r="D446" s="16">
        <f>IF(C446="","",TEXT(C446,"dddd"))</f>
        <v/>
      </c>
      <c r="E446" s="16" t="n"/>
      <c r="F446" s="16">
        <f>IF(G446&lt;&gt;"",IF(LEFT(UPPER(TRIM(G446)),1)="V","Drogaria Venancio",""),IF(H446&lt;&gt;"","Cristal",""))</f>
        <v/>
      </c>
      <c r="G446" s="16" t="n"/>
      <c r="H446" s="16" t="n"/>
      <c r="I446" s="16" t="n"/>
      <c r="J446" s="16" t="n"/>
      <c r="K446" s="16" t="n"/>
      <c r="L446" s="16" t="n"/>
      <c r="M446" s="35">
        <f>IF(I446="","",HYPERLINK("https://www.google.com/maps/search/?api=1&amp;query="&amp;SUBSTITUTE(I446&amp;", "&amp;J446&amp;", Rio de Janeiro"," ","+"),"Abrir no Maps"))</f>
        <v/>
      </c>
    </row>
    <row r="447">
      <c r="A447" s="20">
        <f>IF(C447="","",TEXT(C447,"mmmm"))</f>
        <v/>
      </c>
      <c r="B447" s="20">
        <f>IF(C447="","","Semana "&amp;ROUNDUP(DAY(C447)/7,0))</f>
        <v/>
      </c>
      <c r="C447" s="36" t="n"/>
      <c r="D447" s="20">
        <f>IF(C447="","",TEXT(C447,"dddd"))</f>
        <v/>
      </c>
      <c r="E447" s="20" t="n"/>
      <c r="F447" s="20">
        <f>IF(G447&lt;&gt;"",IF(LEFT(UPPER(TRIM(G447)),1)="V","Drogaria Venancio",""),IF(H447&lt;&gt;"","Cristal",""))</f>
        <v/>
      </c>
      <c r="G447" s="20" t="n"/>
      <c r="H447" s="20" t="n"/>
      <c r="I447" s="20" t="n"/>
      <c r="J447" s="20" t="n"/>
      <c r="K447" s="20" t="n"/>
      <c r="L447" s="20" t="n"/>
      <c r="M447" s="37">
        <f>IF(I447="","",HYPERLINK("https://www.google.com/maps/search/?api=1&amp;query="&amp;SUBSTITUTE(I447&amp;", "&amp;J447&amp;", Rio de Janeiro"," ","+"),"Abrir no Maps"))</f>
        <v/>
      </c>
    </row>
    <row r="448">
      <c r="A448" s="16">
        <f>IF(C448="","",TEXT(C448,"mmmm"))</f>
        <v/>
      </c>
      <c r="B448" s="16">
        <f>IF(C448="","","Semana "&amp;ROUNDUP(DAY(C448)/7,0))</f>
        <v/>
      </c>
      <c r="C448" s="34" t="n"/>
      <c r="D448" s="16">
        <f>IF(C448="","",TEXT(C448,"dddd"))</f>
        <v/>
      </c>
      <c r="E448" s="16" t="n"/>
      <c r="F448" s="16">
        <f>IF(G448&lt;&gt;"",IF(LEFT(UPPER(TRIM(G448)),1)="V","Drogaria Venancio",""),IF(H448&lt;&gt;"","Cristal",""))</f>
        <v/>
      </c>
      <c r="G448" s="16" t="n"/>
      <c r="H448" s="16" t="n"/>
      <c r="I448" s="16" t="n"/>
      <c r="J448" s="16" t="n"/>
      <c r="K448" s="16" t="n"/>
      <c r="L448" s="16" t="n"/>
      <c r="M448" s="35">
        <f>IF(I448="","",HYPERLINK("https://www.google.com/maps/search/?api=1&amp;query="&amp;SUBSTITUTE(I448&amp;", "&amp;J448&amp;", Rio de Janeiro"," ","+"),"Abrir no Maps"))</f>
        <v/>
      </c>
    </row>
    <row r="449">
      <c r="A449" s="20">
        <f>IF(C449="","",TEXT(C449,"mmmm"))</f>
        <v/>
      </c>
      <c r="B449" s="20">
        <f>IF(C449="","","Semana "&amp;ROUNDUP(DAY(C449)/7,0))</f>
        <v/>
      </c>
      <c r="C449" s="36" t="n"/>
      <c r="D449" s="20">
        <f>IF(C449="","",TEXT(C449,"dddd"))</f>
        <v/>
      </c>
      <c r="E449" s="20" t="n"/>
      <c r="F449" s="20">
        <f>IF(G449&lt;&gt;"",IF(LEFT(UPPER(TRIM(G449)),1)="V","Drogaria Venancio",""),IF(H449&lt;&gt;"","Cristal",""))</f>
        <v/>
      </c>
      <c r="G449" s="20" t="n"/>
      <c r="H449" s="20" t="n"/>
      <c r="I449" s="20" t="n"/>
      <c r="J449" s="20" t="n"/>
      <c r="K449" s="20" t="n"/>
      <c r="L449" s="20" t="n"/>
      <c r="M449" s="37">
        <f>IF(I449="","",HYPERLINK("https://www.google.com/maps/search/?api=1&amp;query="&amp;SUBSTITUTE(I449&amp;", "&amp;J449&amp;", Rio de Janeiro"," ","+"),"Abrir no Maps"))</f>
        <v/>
      </c>
    </row>
    <row r="450">
      <c r="A450" s="16">
        <f>IF(C450="","",TEXT(C450,"mmmm"))</f>
        <v/>
      </c>
      <c r="B450" s="16">
        <f>IF(C450="","","Semana "&amp;ROUNDUP(DAY(C450)/7,0))</f>
        <v/>
      </c>
      <c r="C450" s="34" t="n"/>
      <c r="D450" s="16">
        <f>IF(C450="","",TEXT(C450,"dddd"))</f>
        <v/>
      </c>
      <c r="E450" s="16" t="n"/>
      <c r="F450" s="16">
        <f>IF(G450&lt;&gt;"",IF(LEFT(UPPER(TRIM(G450)),1)="V","Drogaria Venancio",""),IF(H450&lt;&gt;"","Cristal",""))</f>
        <v/>
      </c>
      <c r="G450" s="16" t="n"/>
      <c r="H450" s="16" t="n"/>
      <c r="I450" s="16" t="n"/>
      <c r="J450" s="16" t="n"/>
      <c r="K450" s="16" t="n"/>
      <c r="L450" s="16" t="n"/>
      <c r="M450" s="35">
        <f>IF(I450="","",HYPERLINK("https://www.google.com/maps/search/?api=1&amp;query="&amp;SUBSTITUTE(I450&amp;", "&amp;J450&amp;", Rio de Janeiro"," ","+"),"Abrir no Maps"))</f>
        <v/>
      </c>
    </row>
    <row r="451">
      <c r="A451" s="20">
        <f>IF(C451="","",TEXT(C451,"mmmm"))</f>
        <v/>
      </c>
      <c r="B451" s="20">
        <f>IF(C451="","","Semana "&amp;ROUNDUP(DAY(C451)/7,0))</f>
        <v/>
      </c>
      <c r="C451" s="36" t="n"/>
      <c r="D451" s="20">
        <f>IF(C451="","",TEXT(C451,"dddd"))</f>
        <v/>
      </c>
      <c r="E451" s="20" t="n"/>
      <c r="F451" s="20">
        <f>IF(G451&lt;&gt;"",IF(LEFT(UPPER(TRIM(G451)),1)="V","Drogaria Venancio",""),IF(H451&lt;&gt;"","Cristal",""))</f>
        <v/>
      </c>
      <c r="G451" s="20" t="n"/>
      <c r="H451" s="20" t="n"/>
      <c r="I451" s="20" t="n"/>
      <c r="J451" s="20" t="n"/>
      <c r="K451" s="20" t="n"/>
      <c r="L451" s="20" t="n"/>
      <c r="M451" s="37">
        <f>IF(I451="","",HYPERLINK("https://www.google.com/maps/search/?api=1&amp;query="&amp;SUBSTITUTE(I451&amp;", "&amp;J451&amp;", Rio de Janeiro"," ","+"),"Abrir no Maps"))</f>
        <v/>
      </c>
    </row>
    <row r="452">
      <c r="A452" s="16">
        <f>IF(C452="","",TEXT(C452,"mmmm"))</f>
        <v/>
      </c>
      <c r="B452" s="16">
        <f>IF(C452="","","Semana "&amp;ROUNDUP(DAY(C452)/7,0))</f>
        <v/>
      </c>
      <c r="C452" s="34" t="n"/>
      <c r="D452" s="16">
        <f>IF(C452="","",TEXT(C452,"dddd"))</f>
        <v/>
      </c>
      <c r="E452" s="16" t="n"/>
      <c r="F452" s="16">
        <f>IF(G452&lt;&gt;"",IF(LEFT(UPPER(TRIM(G452)),1)="V","Drogaria Venancio",""),IF(H452&lt;&gt;"","Cristal",""))</f>
        <v/>
      </c>
      <c r="G452" s="16" t="n"/>
      <c r="H452" s="16" t="n"/>
      <c r="I452" s="16" t="n"/>
      <c r="J452" s="16" t="n"/>
      <c r="K452" s="16" t="n"/>
      <c r="L452" s="16" t="n"/>
      <c r="M452" s="35">
        <f>IF(I452="","",HYPERLINK("https://www.google.com/maps/search/?api=1&amp;query="&amp;SUBSTITUTE(I452&amp;", "&amp;J452&amp;", Rio de Janeiro"," ","+"),"Abrir no Maps"))</f>
        <v/>
      </c>
    </row>
    <row r="453">
      <c r="A453" s="20">
        <f>IF(C453="","",TEXT(C453,"mmmm"))</f>
        <v/>
      </c>
      <c r="B453" s="20">
        <f>IF(C453="","","Semana "&amp;ROUNDUP(DAY(C453)/7,0))</f>
        <v/>
      </c>
      <c r="C453" s="36" t="n"/>
      <c r="D453" s="20">
        <f>IF(C453="","",TEXT(C453,"dddd"))</f>
        <v/>
      </c>
      <c r="E453" s="20" t="n"/>
      <c r="F453" s="20">
        <f>IF(G453&lt;&gt;"",IF(LEFT(UPPER(TRIM(G453)),1)="V","Drogaria Venancio",""),IF(H453&lt;&gt;"","Cristal",""))</f>
        <v/>
      </c>
      <c r="G453" s="20" t="n"/>
      <c r="H453" s="20" t="n"/>
      <c r="I453" s="20" t="n"/>
      <c r="J453" s="20" t="n"/>
      <c r="K453" s="20" t="n"/>
      <c r="L453" s="20" t="n"/>
      <c r="M453" s="37">
        <f>IF(I453="","",HYPERLINK("https://www.google.com/maps/search/?api=1&amp;query="&amp;SUBSTITUTE(I453&amp;", "&amp;J453&amp;", Rio de Janeiro"," ","+"),"Abrir no Maps"))</f>
        <v/>
      </c>
    </row>
    <row r="454">
      <c r="A454" s="16">
        <f>IF(C454="","",TEXT(C454,"mmmm"))</f>
        <v/>
      </c>
      <c r="B454" s="16">
        <f>IF(C454="","","Semana "&amp;ROUNDUP(DAY(C454)/7,0))</f>
        <v/>
      </c>
      <c r="C454" s="34" t="n"/>
      <c r="D454" s="16">
        <f>IF(C454="","",TEXT(C454,"dddd"))</f>
        <v/>
      </c>
      <c r="E454" s="16" t="n"/>
      <c r="F454" s="16">
        <f>IF(G454&lt;&gt;"",IF(LEFT(UPPER(TRIM(G454)),1)="V","Drogaria Venancio",""),IF(H454&lt;&gt;"","Cristal",""))</f>
        <v/>
      </c>
      <c r="G454" s="16" t="n"/>
      <c r="H454" s="16" t="n"/>
      <c r="I454" s="16" t="n"/>
      <c r="J454" s="16" t="n"/>
      <c r="K454" s="16" t="n"/>
      <c r="L454" s="16" t="n"/>
      <c r="M454" s="35">
        <f>IF(I454="","",HYPERLINK("https://www.google.com/maps/search/?api=1&amp;query="&amp;SUBSTITUTE(I454&amp;", "&amp;J454&amp;", Rio de Janeiro"," ","+"),"Abrir no Maps"))</f>
        <v/>
      </c>
    </row>
    <row r="455">
      <c r="A455" s="20">
        <f>IF(C455="","",TEXT(C455,"mmmm"))</f>
        <v/>
      </c>
      <c r="B455" s="20">
        <f>IF(C455="","","Semana "&amp;ROUNDUP(DAY(C455)/7,0))</f>
        <v/>
      </c>
      <c r="C455" s="36" t="n"/>
      <c r="D455" s="20">
        <f>IF(C455="","",TEXT(C455,"dddd"))</f>
        <v/>
      </c>
      <c r="E455" s="20" t="n"/>
      <c r="F455" s="20">
        <f>IF(G455&lt;&gt;"",IF(LEFT(UPPER(TRIM(G455)),1)="V","Drogaria Venancio",""),IF(H455&lt;&gt;"","Cristal",""))</f>
        <v/>
      </c>
      <c r="G455" s="20" t="n"/>
      <c r="H455" s="20" t="n"/>
      <c r="I455" s="20" t="n"/>
      <c r="J455" s="20" t="n"/>
      <c r="K455" s="20" t="n"/>
      <c r="L455" s="20" t="n"/>
      <c r="M455" s="37">
        <f>IF(I455="","",HYPERLINK("https://www.google.com/maps/search/?api=1&amp;query="&amp;SUBSTITUTE(I455&amp;", "&amp;J455&amp;", Rio de Janeiro"," ","+"),"Abrir no Maps"))</f>
        <v/>
      </c>
    </row>
    <row r="456">
      <c r="A456" s="16">
        <f>IF(C456="","",TEXT(C456,"mmmm"))</f>
        <v/>
      </c>
      <c r="B456" s="16">
        <f>IF(C456="","","Semana "&amp;ROUNDUP(DAY(C456)/7,0))</f>
        <v/>
      </c>
      <c r="C456" s="34" t="n"/>
      <c r="D456" s="16">
        <f>IF(C456="","",TEXT(C456,"dddd"))</f>
        <v/>
      </c>
      <c r="E456" s="16" t="n"/>
      <c r="F456" s="16">
        <f>IF(G456&lt;&gt;"",IF(LEFT(UPPER(TRIM(G456)),1)="V","Drogaria Venancio",""),IF(H456&lt;&gt;"","Cristal",""))</f>
        <v/>
      </c>
      <c r="G456" s="16" t="n"/>
      <c r="H456" s="16" t="n"/>
      <c r="I456" s="16" t="n"/>
      <c r="J456" s="16" t="n"/>
      <c r="K456" s="16" t="n"/>
      <c r="L456" s="16" t="n"/>
      <c r="M456" s="35">
        <f>IF(I456="","",HYPERLINK("https://www.google.com/maps/search/?api=1&amp;query="&amp;SUBSTITUTE(I456&amp;", "&amp;J456&amp;", Rio de Janeiro"," ","+"),"Abrir no Maps"))</f>
        <v/>
      </c>
    </row>
    <row r="457">
      <c r="A457" s="20">
        <f>IF(C457="","",TEXT(C457,"mmmm"))</f>
        <v/>
      </c>
      <c r="B457" s="20">
        <f>IF(C457="","","Semana "&amp;ROUNDUP(DAY(C457)/7,0))</f>
        <v/>
      </c>
      <c r="C457" s="36" t="n"/>
      <c r="D457" s="20">
        <f>IF(C457="","",TEXT(C457,"dddd"))</f>
        <v/>
      </c>
      <c r="E457" s="20" t="n"/>
      <c r="F457" s="20">
        <f>IF(G457&lt;&gt;"",IF(LEFT(UPPER(TRIM(G457)),1)="V","Drogaria Venancio",""),IF(H457&lt;&gt;"","Cristal",""))</f>
        <v/>
      </c>
      <c r="G457" s="20" t="n"/>
      <c r="H457" s="20" t="n"/>
      <c r="I457" s="20" t="n"/>
      <c r="J457" s="20" t="n"/>
      <c r="K457" s="20" t="n"/>
      <c r="L457" s="20" t="n"/>
      <c r="M457" s="37">
        <f>IF(I457="","",HYPERLINK("https://www.google.com/maps/search/?api=1&amp;query="&amp;SUBSTITUTE(I457&amp;", "&amp;J457&amp;", Rio de Janeiro"," ","+"),"Abrir no Maps"))</f>
        <v/>
      </c>
    </row>
    <row r="458">
      <c r="A458" s="16">
        <f>IF(C458="","",TEXT(C458,"mmmm"))</f>
        <v/>
      </c>
      <c r="B458" s="16">
        <f>IF(C458="","","Semana "&amp;ROUNDUP(DAY(C458)/7,0))</f>
        <v/>
      </c>
      <c r="C458" s="34" t="n"/>
      <c r="D458" s="16">
        <f>IF(C458="","",TEXT(C458,"dddd"))</f>
        <v/>
      </c>
      <c r="E458" s="16" t="n"/>
      <c r="F458" s="16">
        <f>IF(G458&lt;&gt;"",IF(LEFT(UPPER(TRIM(G458)),1)="V","Drogaria Venancio",""),IF(H458&lt;&gt;"","Cristal",""))</f>
        <v/>
      </c>
      <c r="G458" s="16" t="n"/>
      <c r="H458" s="16" t="n"/>
      <c r="I458" s="16" t="n"/>
      <c r="J458" s="16" t="n"/>
      <c r="K458" s="16" t="n"/>
      <c r="L458" s="16" t="n"/>
      <c r="M458" s="35">
        <f>IF(I458="","",HYPERLINK("https://www.google.com/maps/search/?api=1&amp;query="&amp;SUBSTITUTE(I458&amp;", "&amp;J458&amp;", Rio de Janeiro"," ","+"),"Abrir no Maps"))</f>
        <v/>
      </c>
    </row>
    <row r="459">
      <c r="A459" s="20">
        <f>IF(C459="","",TEXT(C459,"mmmm"))</f>
        <v/>
      </c>
      <c r="B459" s="20">
        <f>IF(C459="","","Semana "&amp;ROUNDUP(DAY(C459)/7,0))</f>
        <v/>
      </c>
      <c r="C459" s="36" t="n"/>
      <c r="D459" s="20">
        <f>IF(C459="","",TEXT(C459,"dddd"))</f>
        <v/>
      </c>
      <c r="E459" s="20" t="n"/>
      <c r="F459" s="20">
        <f>IF(G459&lt;&gt;"",IF(LEFT(UPPER(TRIM(G459)),1)="V","Drogaria Venancio",""),IF(H459&lt;&gt;"","Cristal",""))</f>
        <v/>
      </c>
      <c r="G459" s="20" t="n"/>
      <c r="H459" s="20" t="n"/>
      <c r="I459" s="20" t="n"/>
      <c r="J459" s="20" t="n"/>
      <c r="K459" s="20" t="n"/>
      <c r="L459" s="20" t="n"/>
      <c r="M459" s="37">
        <f>IF(I459="","",HYPERLINK("https://www.google.com/maps/search/?api=1&amp;query="&amp;SUBSTITUTE(I459&amp;", "&amp;J459&amp;", Rio de Janeiro"," ","+"),"Abrir no Maps"))</f>
        <v/>
      </c>
    </row>
    <row r="460">
      <c r="A460" s="16">
        <f>IF(C460="","",TEXT(C460,"mmmm"))</f>
        <v/>
      </c>
      <c r="B460" s="16">
        <f>IF(C460="","","Semana "&amp;ROUNDUP(DAY(C460)/7,0))</f>
        <v/>
      </c>
      <c r="C460" s="34" t="n"/>
      <c r="D460" s="16">
        <f>IF(C460="","",TEXT(C460,"dddd"))</f>
        <v/>
      </c>
      <c r="E460" s="16" t="n"/>
      <c r="F460" s="16">
        <f>IF(G460&lt;&gt;"",IF(LEFT(UPPER(TRIM(G460)),1)="V","Drogaria Venancio",""),IF(H460&lt;&gt;"","Cristal",""))</f>
        <v/>
      </c>
      <c r="G460" s="16" t="n"/>
      <c r="H460" s="16" t="n"/>
      <c r="I460" s="16" t="n"/>
      <c r="J460" s="16" t="n"/>
      <c r="K460" s="16" t="n"/>
      <c r="L460" s="16" t="n"/>
      <c r="M460" s="35">
        <f>IF(I460="","",HYPERLINK("https://www.google.com/maps/search/?api=1&amp;query="&amp;SUBSTITUTE(I460&amp;", "&amp;J460&amp;", Rio de Janeiro"," ","+"),"Abrir no Maps"))</f>
        <v/>
      </c>
    </row>
    <row r="461">
      <c r="A461" s="20">
        <f>IF(C461="","",TEXT(C461,"mmmm"))</f>
        <v/>
      </c>
      <c r="B461" s="20">
        <f>IF(C461="","","Semana "&amp;ROUNDUP(DAY(C461)/7,0))</f>
        <v/>
      </c>
      <c r="C461" s="36" t="n"/>
      <c r="D461" s="20">
        <f>IF(C461="","",TEXT(C461,"dddd"))</f>
        <v/>
      </c>
      <c r="E461" s="20" t="n"/>
      <c r="F461" s="20">
        <f>IF(G461&lt;&gt;"",IF(LEFT(UPPER(TRIM(G461)),1)="V","Drogaria Venancio",""),IF(H461&lt;&gt;"","Cristal",""))</f>
        <v/>
      </c>
      <c r="G461" s="20" t="n"/>
      <c r="H461" s="20" t="n"/>
      <c r="I461" s="20" t="n"/>
      <c r="J461" s="20" t="n"/>
      <c r="K461" s="20" t="n"/>
      <c r="L461" s="20" t="n"/>
      <c r="M461" s="37">
        <f>IF(I461="","",HYPERLINK("https://www.google.com/maps/search/?api=1&amp;query="&amp;SUBSTITUTE(I461&amp;", "&amp;J461&amp;", Rio de Janeiro"," ","+"),"Abrir no Maps"))</f>
        <v/>
      </c>
    </row>
    <row r="462">
      <c r="A462" s="16">
        <f>IF(C462="","",TEXT(C462,"mmmm"))</f>
        <v/>
      </c>
      <c r="B462" s="16">
        <f>IF(C462="","","Semana "&amp;ROUNDUP(DAY(C462)/7,0))</f>
        <v/>
      </c>
      <c r="C462" s="34" t="n"/>
      <c r="D462" s="16">
        <f>IF(C462="","",TEXT(C462,"dddd"))</f>
        <v/>
      </c>
      <c r="E462" s="16" t="n"/>
      <c r="F462" s="16">
        <f>IF(G462&lt;&gt;"",IF(LEFT(UPPER(TRIM(G462)),1)="V","Drogaria Venancio",""),IF(H462&lt;&gt;"","Cristal",""))</f>
        <v/>
      </c>
      <c r="G462" s="16" t="n"/>
      <c r="H462" s="16" t="n"/>
      <c r="I462" s="16" t="n"/>
      <c r="J462" s="16" t="n"/>
      <c r="K462" s="16" t="n"/>
      <c r="L462" s="16" t="n"/>
      <c r="M462" s="35">
        <f>IF(I462="","",HYPERLINK("https://www.google.com/maps/search/?api=1&amp;query="&amp;SUBSTITUTE(I462&amp;", "&amp;J462&amp;", Rio de Janeiro"," ","+"),"Abrir no Maps"))</f>
        <v/>
      </c>
    </row>
    <row r="463">
      <c r="A463" s="20">
        <f>IF(C463="","",TEXT(C463,"mmmm"))</f>
        <v/>
      </c>
      <c r="B463" s="20">
        <f>IF(C463="","","Semana "&amp;ROUNDUP(DAY(C463)/7,0))</f>
        <v/>
      </c>
      <c r="C463" s="36" t="n"/>
      <c r="D463" s="20">
        <f>IF(C463="","",TEXT(C463,"dddd"))</f>
        <v/>
      </c>
      <c r="E463" s="20" t="n"/>
      <c r="F463" s="20">
        <f>IF(G463&lt;&gt;"",IF(LEFT(UPPER(TRIM(G463)),1)="V","Drogaria Venancio",""),IF(H463&lt;&gt;"","Cristal",""))</f>
        <v/>
      </c>
      <c r="G463" s="20" t="n"/>
      <c r="H463" s="20" t="n"/>
      <c r="I463" s="20" t="n"/>
      <c r="J463" s="20" t="n"/>
      <c r="K463" s="20" t="n"/>
      <c r="L463" s="20" t="n"/>
      <c r="M463" s="37">
        <f>IF(I463="","",HYPERLINK("https://www.google.com/maps/search/?api=1&amp;query="&amp;SUBSTITUTE(I463&amp;", "&amp;J463&amp;", Rio de Janeiro"," ","+"),"Abrir no Maps"))</f>
        <v/>
      </c>
    </row>
    <row r="464">
      <c r="A464" s="16">
        <f>IF(C464="","",TEXT(C464,"mmmm"))</f>
        <v/>
      </c>
      <c r="B464" s="16">
        <f>IF(C464="","","Semana "&amp;ROUNDUP(DAY(C464)/7,0))</f>
        <v/>
      </c>
      <c r="C464" s="34" t="n"/>
      <c r="D464" s="16">
        <f>IF(C464="","",TEXT(C464,"dddd"))</f>
        <v/>
      </c>
      <c r="E464" s="16" t="n"/>
      <c r="F464" s="16">
        <f>IF(G464&lt;&gt;"",IF(LEFT(UPPER(TRIM(G464)),1)="V","Drogaria Venancio",""),IF(H464&lt;&gt;"","Cristal",""))</f>
        <v/>
      </c>
      <c r="G464" s="16" t="n"/>
      <c r="H464" s="16" t="n"/>
      <c r="I464" s="16" t="n"/>
      <c r="J464" s="16" t="n"/>
      <c r="K464" s="16" t="n"/>
      <c r="L464" s="16" t="n"/>
      <c r="M464" s="35">
        <f>IF(I464="","",HYPERLINK("https://www.google.com/maps/search/?api=1&amp;query="&amp;SUBSTITUTE(I464&amp;", "&amp;J464&amp;", Rio de Janeiro"," ","+"),"Abrir no Maps"))</f>
        <v/>
      </c>
    </row>
    <row r="465">
      <c r="A465" s="20">
        <f>IF(C465="","",TEXT(C465,"mmmm"))</f>
        <v/>
      </c>
      <c r="B465" s="20">
        <f>IF(C465="","","Semana "&amp;ROUNDUP(DAY(C465)/7,0))</f>
        <v/>
      </c>
      <c r="C465" s="36" t="n"/>
      <c r="D465" s="20">
        <f>IF(C465="","",TEXT(C465,"dddd"))</f>
        <v/>
      </c>
      <c r="E465" s="20" t="n"/>
      <c r="F465" s="20">
        <f>IF(G465&lt;&gt;"",IF(LEFT(UPPER(TRIM(G465)),1)="V","Drogaria Venancio",""),IF(H465&lt;&gt;"","Cristal",""))</f>
        <v/>
      </c>
      <c r="G465" s="20" t="n"/>
      <c r="H465" s="20" t="n"/>
      <c r="I465" s="20" t="n"/>
      <c r="J465" s="20" t="n"/>
      <c r="K465" s="20" t="n"/>
      <c r="L465" s="20" t="n"/>
      <c r="M465" s="37">
        <f>IF(I465="","",HYPERLINK("https://www.google.com/maps/search/?api=1&amp;query="&amp;SUBSTITUTE(I465&amp;", "&amp;J465&amp;", Rio de Janeiro"," ","+"),"Abrir no Maps"))</f>
        <v/>
      </c>
    </row>
    <row r="466">
      <c r="A466" s="16">
        <f>IF(C466="","",TEXT(C466,"mmmm"))</f>
        <v/>
      </c>
      <c r="B466" s="16">
        <f>IF(C466="","","Semana "&amp;ROUNDUP(DAY(C466)/7,0))</f>
        <v/>
      </c>
      <c r="C466" s="34" t="n"/>
      <c r="D466" s="16">
        <f>IF(C466="","",TEXT(C466,"dddd"))</f>
        <v/>
      </c>
      <c r="E466" s="16" t="n"/>
      <c r="F466" s="16">
        <f>IF(G466&lt;&gt;"",IF(LEFT(UPPER(TRIM(G466)),1)="V","Drogaria Venancio",""),IF(H466&lt;&gt;"","Cristal",""))</f>
        <v/>
      </c>
      <c r="G466" s="16" t="n"/>
      <c r="H466" s="16" t="n"/>
      <c r="I466" s="16" t="n"/>
      <c r="J466" s="16" t="n"/>
      <c r="K466" s="16" t="n"/>
      <c r="L466" s="16" t="n"/>
      <c r="M466" s="35">
        <f>IF(I466="","",HYPERLINK("https://www.google.com/maps/search/?api=1&amp;query="&amp;SUBSTITUTE(I466&amp;", "&amp;J466&amp;", Rio de Janeiro"," ","+"),"Abrir no Maps"))</f>
        <v/>
      </c>
    </row>
    <row r="467">
      <c r="A467" s="20">
        <f>IF(C467="","",TEXT(C467,"mmmm"))</f>
        <v/>
      </c>
      <c r="B467" s="20">
        <f>IF(C467="","","Semana "&amp;ROUNDUP(DAY(C467)/7,0))</f>
        <v/>
      </c>
      <c r="C467" s="36" t="n"/>
      <c r="D467" s="20">
        <f>IF(C467="","",TEXT(C467,"dddd"))</f>
        <v/>
      </c>
      <c r="E467" s="20" t="n"/>
      <c r="F467" s="20">
        <f>IF(G467&lt;&gt;"",IF(LEFT(UPPER(TRIM(G467)),1)="V","Drogaria Venancio",""),IF(H467&lt;&gt;"","Cristal",""))</f>
        <v/>
      </c>
      <c r="G467" s="20" t="n"/>
      <c r="H467" s="20" t="n"/>
      <c r="I467" s="20" t="n"/>
      <c r="J467" s="20" t="n"/>
      <c r="K467" s="20" t="n"/>
      <c r="L467" s="20" t="n"/>
      <c r="M467" s="37">
        <f>IF(I467="","",HYPERLINK("https://www.google.com/maps/search/?api=1&amp;query="&amp;SUBSTITUTE(I467&amp;", "&amp;J467&amp;", Rio de Janeiro"," ","+"),"Abrir no Maps"))</f>
        <v/>
      </c>
    </row>
    <row r="468">
      <c r="A468" s="16">
        <f>IF(C468="","",TEXT(C468,"mmmm"))</f>
        <v/>
      </c>
      <c r="B468" s="16">
        <f>IF(C468="","","Semana "&amp;ROUNDUP(DAY(C468)/7,0))</f>
        <v/>
      </c>
      <c r="C468" s="34" t="n"/>
      <c r="D468" s="16">
        <f>IF(C468="","",TEXT(C468,"dddd"))</f>
        <v/>
      </c>
      <c r="E468" s="16" t="n"/>
      <c r="F468" s="16">
        <f>IF(G468&lt;&gt;"",IF(LEFT(UPPER(TRIM(G468)),1)="V","Drogaria Venancio",""),IF(H468&lt;&gt;"","Cristal",""))</f>
        <v/>
      </c>
      <c r="G468" s="16" t="n"/>
      <c r="H468" s="16" t="n"/>
      <c r="I468" s="16" t="n"/>
      <c r="J468" s="16" t="n"/>
      <c r="K468" s="16" t="n"/>
      <c r="L468" s="16" t="n"/>
      <c r="M468" s="35">
        <f>IF(I468="","",HYPERLINK("https://www.google.com/maps/search/?api=1&amp;query="&amp;SUBSTITUTE(I468&amp;", "&amp;J468&amp;", Rio de Janeiro"," ","+"),"Abrir no Maps"))</f>
        <v/>
      </c>
    </row>
    <row r="469">
      <c r="A469" s="20">
        <f>IF(C469="","",TEXT(C469,"mmmm"))</f>
        <v/>
      </c>
      <c r="B469" s="20">
        <f>IF(C469="","","Semana "&amp;ROUNDUP(DAY(C469)/7,0))</f>
        <v/>
      </c>
      <c r="C469" s="36" t="n"/>
      <c r="D469" s="20">
        <f>IF(C469="","",TEXT(C469,"dddd"))</f>
        <v/>
      </c>
      <c r="E469" s="20" t="n"/>
      <c r="F469" s="20">
        <f>IF(G469&lt;&gt;"",IF(LEFT(UPPER(TRIM(G469)),1)="V","Drogaria Venancio",""),IF(H469&lt;&gt;"","Cristal",""))</f>
        <v/>
      </c>
      <c r="G469" s="20" t="n"/>
      <c r="H469" s="20" t="n"/>
      <c r="I469" s="20" t="n"/>
      <c r="J469" s="20" t="n"/>
      <c r="K469" s="20" t="n"/>
      <c r="L469" s="20" t="n"/>
      <c r="M469" s="37">
        <f>IF(I469="","",HYPERLINK("https://www.google.com/maps/search/?api=1&amp;query="&amp;SUBSTITUTE(I469&amp;", "&amp;J469&amp;", Rio de Janeiro"," ","+"),"Abrir no Maps"))</f>
        <v/>
      </c>
    </row>
    <row r="470">
      <c r="A470" s="16">
        <f>IF(C470="","",TEXT(C470,"mmmm"))</f>
        <v/>
      </c>
      <c r="B470" s="16">
        <f>IF(C470="","","Semana "&amp;ROUNDUP(DAY(C470)/7,0))</f>
        <v/>
      </c>
      <c r="C470" s="34" t="n"/>
      <c r="D470" s="16">
        <f>IF(C470="","",TEXT(C470,"dddd"))</f>
        <v/>
      </c>
      <c r="E470" s="16" t="n"/>
      <c r="F470" s="16">
        <f>IF(G470&lt;&gt;"",IF(LEFT(UPPER(TRIM(G470)),1)="V","Drogaria Venancio",""),IF(H470&lt;&gt;"","Cristal",""))</f>
        <v/>
      </c>
      <c r="G470" s="16" t="n"/>
      <c r="H470" s="16" t="n"/>
      <c r="I470" s="16" t="n"/>
      <c r="J470" s="16" t="n"/>
      <c r="K470" s="16" t="n"/>
      <c r="L470" s="16" t="n"/>
      <c r="M470" s="35">
        <f>IF(I470="","",HYPERLINK("https://www.google.com/maps/search/?api=1&amp;query="&amp;SUBSTITUTE(I470&amp;", "&amp;J470&amp;", Rio de Janeiro"," ","+"),"Abrir no Maps"))</f>
        <v/>
      </c>
    </row>
    <row r="471">
      <c r="A471" s="20">
        <f>IF(C471="","",TEXT(C471,"mmmm"))</f>
        <v/>
      </c>
      <c r="B471" s="20">
        <f>IF(C471="","","Semana "&amp;ROUNDUP(DAY(C471)/7,0))</f>
        <v/>
      </c>
      <c r="C471" s="36" t="n"/>
      <c r="D471" s="20">
        <f>IF(C471="","",TEXT(C471,"dddd"))</f>
        <v/>
      </c>
      <c r="E471" s="20" t="n"/>
      <c r="F471" s="20">
        <f>IF(G471&lt;&gt;"",IF(LEFT(UPPER(TRIM(G471)),1)="V","Drogaria Venancio",""),IF(H471&lt;&gt;"","Cristal",""))</f>
        <v/>
      </c>
      <c r="G471" s="20" t="n"/>
      <c r="H471" s="20" t="n"/>
      <c r="I471" s="20" t="n"/>
      <c r="J471" s="20" t="n"/>
      <c r="K471" s="20" t="n"/>
      <c r="L471" s="20" t="n"/>
      <c r="M471" s="37">
        <f>IF(I471="","",HYPERLINK("https://www.google.com/maps/search/?api=1&amp;query="&amp;SUBSTITUTE(I471&amp;", "&amp;J471&amp;", Rio de Janeiro"," ","+"),"Abrir no Maps"))</f>
        <v/>
      </c>
    </row>
    <row r="472">
      <c r="A472" s="16">
        <f>IF(C472="","",TEXT(C472,"mmmm"))</f>
        <v/>
      </c>
      <c r="B472" s="16">
        <f>IF(C472="","","Semana "&amp;ROUNDUP(DAY(C472)/7,0))</f>
        <v/>
      </c>
      <c r="C472" s="34" t="n"/>
      <c r="D472" s="16">
        <f>IF(C472="","",TEXT(C472,"dddd"))</f>
        <v/>
      </c>
      <c r="E472" s="16" t="n"/>
      <c r="F472" s="16">
        <f>IF(G472&lt;&gt;"",IF(LEFT(UPPER(TRIM(G472)),1)="V","Drogaria Venancio",""),IF(H472&lt;&gt;"","Cristal",""))</f>
        <v/>
      </c>
      <c r="G472" s="16" t="n"/>
      <c r="H472" s="16" t="n"/>
      <c r="I472" s="16" t="n"/>
      <c r="J472" s="16" t="n"/>
      <c r="K472" s="16" t="n"/>
      <c r="L472" s="16" t="n"/>
      <c r="M472" s="35">
        <f>IF(I472="","",HYPERLINK("https://www.google.com/maps/search/?api=1&amp;query="&amp;SUBSTITUTE(I472&amp;", "&amp;J472&amp;", Rio de Janeiro"," ","+"),"Abrir no Maps"))</f>
        <v/>
      </c>
    </row>
    <row r="473">
      <c r="A473" s="20">
        <f>IF(C473="","",TEXT(C473,"mmmm"))</f>
        <v/>
      </c>
      <c r="B473" s="20">
        <f>IF(C473="","","Semana "&amp;ROUNDUP(DAY(C473)/7,0))</f>
        <v/>
      </c>
      <c r="C473" s="36" t="n"/>
      <c r="D473" s="20">
        <f>IF(C473="","",TEXT(C473,"dddd"))</f>
        <v/>
      </c>
      <c r="E473" s="20" t="n"/>
      <c r="F473" s="20">
        <f>IF(G473&lt;&gt;"",IF(LEFT(UPPER(TRIM(G473)),1)="V","Drogaria Venancio",""),IF(H473&lt;&gt;"","Cristal",""))</f>
        <v/>
      </c>
      <c r="G473" s="20" t="n"/>
      <c r="H473" s="20" t="n"/>
      <c r="I473" s="20" t="n"/>
      <c r="J473" s="20" t="n"/>
      <c r="K473" s="20" t="n"/>
      <c r="L473" s="20" t="n"/>
      <c r="M473" s="37">
        <f>IF(I473="","",HYPERLINK("https://www.google.com/maps/search/?api=1&amp;query="&amp;SUBSTITUTE(I473&amp;", "&amp;J473&amp;", Rio de Janeiro"," ","+"),"Abrir no Maps"))</f>
        <v/>
      </c>
    </row>
    <row r="474">
      <c r="A474" s="16">
        <f>IF(C474="","",TEXT(C474,"mmmm"))</f>
        <v/>
      </c>
      <c r="B474" s="16">
        <f>IF(C474="","","Semana "&amp;ROUNDUP(DAY(C474)/7,0))</f>
        <v/>
      </c>
      <c r="C474" s="34" t="n"/>
      <c r="D474" s="16">
        <f>IF(C474="","",TEXT(C474,"dddd"))</f>
        <v/>
      </c>
      <c r="E474" s="16" t="n"/>
      <c r="F474" s="16">
        <f>IF(G474&lt;&gt;"",IF(LEFT(UPPER(TRIM(G474)),1)="V","Drogaria Venancio",""),IF(H474&lt;&gt;"","Cristal",""))</f>
        <v/>
      </c>
      <c r="G474" s="16" t="n"/>
      <c r="H474" s="16" t="n"/>
      <c r="I474" s="16" t="n"/>
      <c r="J474" s="16" t="n"/>
      <c r="K474" s="16" t="n"/>
      <c r="L474" s="16" t="n"/>
      <c r="M474" s="35">
        <f>IF(I474="","",HYPERLINK("https://www.google.com/maps/search/?api=1&amp;query="&amp;SUBSTITUTE(I474&amp;", "&amp;J474&amp;", Rio de Janeiro"," ","+"),"Abrir no Maps"))</f>
        <v/>
      </c>
    </row>
    <row r="475">
      <c r="A475" s="20">
        <f>IF(C475="","",TEXT(C475,"mmmm"))</f>
        <v/>
      </c>
      <c r="B475" s="20">
        <f>IF(C475="","","Semana "&amp;ROUNDUP(DAY(C475)/7,0))</f>
        <v/>
      </c>
      <c r="C475" s="36" t="n"/>
      <c r="D475" s="20">
        <f>IF(C475="","",TEXT(C475,"dddd"))</f>
        <v/>
      </c>
      <c r="E475" s="20" t="n"/>
      <c r="F475" s="20">
        <f>IF(G475&lt;&gt;"",IF(LEFT(UPPER(TRIM(G475)),1)="V","Drogaria Venancio",""),IF(H475&lt;&gt;"","Cristal",""))</f>
        <v/>
      </c>
      <c r="G475" s="20" t="n"/>
      <c r="H475" s="20" t="n"/>
      <c r="I475" s="20" t="n"/>
      <c r="J475" s="20" t="n"/>
      <c r="K475" s="20" t="n"/>
      <c r="L475" s="20" t="n"/>
      <c r="M475" s="37">
        <f>IF(I475="","",HYPERLINK("https://www.google.com/maps/search/?api=1&amp;query="&amp;SUBSTITUTE(I475&amp;", "&amp;J475&amp;", Rio de Janeiro"," ","+"),"Abrir no Maps"))</f>
        <v/>
      </c>
    </row>
    <row r="476">
      <c r="A476" s="16">
        <f>IF(C476="","",TEXT(C476,"mmmm"))</f>
        <v/>
      </c>
      <c r="B476" s="16">
        <f>IF(C476="","","Semana "&amp;ROUNDUP(DAY(C476)/7,0))</f>
        <v/>
      </c>
      <c r="C476" s="34" t="n"/>
      <c r="D476" s="16">
        <f>IF(C476="","",TEXT(C476,"dddd"))</f>
        <v/>
      </c>
      <c r="E476" s="16" t="n"/>
      <c r="F476" s="16">
        <f>IF(G476&lt;&gt;"",IF(LEFT(UPPER(TRIM(G476)),1)="V","Drogaria Venancio",""),IF(H476&lt;&gt;"","Cristal",""))</f>
        <v/>
      </c>
      <c r="G476" s="16" t="n"/>
      <c r="H476" s="16" t="n"/>
      <c r="I476" s="16" t="n"/>
      <c r="J476" s="16" t="n"/>
      <c r="K476" s="16" t="n"/>
      <c r="L476" s="16" t="n"/>
      <c r="M476" s="35">
        <f>IF(I476="","",HYPERLINK("https://www.google.com/maps/search/?api=1&amp;query="&amp;SUBSTITUTE(I476&amp;", "&amp;J476&amp;", Rio de Janeiro"," ","+"),"Abrir no Maps"))</f>
        <v/>
      </c>
    </row>
    <row r="477">
      <c r="A477" s="20">
        <f>IF(C477="","",TEXT(C477,"mmmm"))</f>
        <v/>
      </c>
      <c r="B477" s="20">
        <f>IF(C477="","","Semana "&amp;ROUNDUP(DAY(C477)/7,0))</f>
        <v/>
      </c>
      <c r="C477" s="36" t="n"/>
      <c r="D477" s="20">
        <f>IF(C477="","",TEXT(C477,"dddd"))</f>
        <v/>
      </c>
      <c r="E477" s="20" t="n"/>
      <c r="F477" s="20">
        <f>IF(G477&lt;&gt;"",IF(LEFT(UPPER(TRIM(G477)),1)="V","Drogaria Venancio",""),IF(H477&lt;&gt;"","Cristal",""))</f>
        <v/>
      </c>
      <c r="G477" s="20" t="n"/>
      <c r="H477" s="20" t="n"/>
      <c r="I477" s="20" t="n"/>
      <c r="J477" s="20" t="n"/>
      <c r="K477" s="20" t="n"/>
      <c r="L477" s="20" t="n"/>
      <c r="M477" s="37">
        <f>IF(I477="","",HYPERLINK("https://www.google.com/maps/search/?api=1&amp;query="&amp;SUBSTITUTE(I477&amp;", "&amp;J477&amp;", Rio de Janeiro"," ","+"),"Abrir no Maps"))</f>
        <v/>
      </c>
    </row>
    <row r="478">
      <c r="A478" s="16">
        <f>IF(C478="","",TEXT(C478,"mmmm"))</f>
        <v/>
      </c>
      <c r="B478" s="16">
        <f>IF(C478="","","Semana "&amp;ROUNDUP(DAY(C478)/7,0))</f>
        <v/>
      </c>
      <c r="C478" s="34" t="n"/>
      <c r="D478" s="16">
        <f>IF(C478="","",TEXT(C478,"dddd"))</f>
        <v/>
      </c>
      <c r="E478" s="16" t="n"/>
      <c r="F478" s="16">
        <f>IF(G478&lt;&gt;"",IF(LEFT(UPPER(TRIM(G478)),1)="V","Drogaria Venancio",""),IF(H478&lt;&gt;"","Cristal",""))</f>
        <v/>
      </c>
      <c r="G478" s="16" t="n"/>
      <c r="H478" s="16" t="n"/>
      <c r="I478" s="16" t="n"/>
      <c r="J478" s="16" t="n"/>
      <c r="K478" s="16" t="n"/>
      <c r="L478" s="16" t="n"/>
      <c r="M478" s="35">
        <f>IF(I478="","",HYPERLINK("https://www.google.com/maps/search/?api=1&amp;query="&amp;SUBSTITUTE(I478&amp;", "&amp;J478&amp;", Rio de Janeiro"," ","+"),"Abrir no Maps"))</f>
        <v/>
      </c>
    </row>
    <row r="479">
      <c r="A479" s="20">
        <f>IF(C479="","",TEXT(C479,"mmmm"))</f>
        <v/>
      </c>
      <c r="B479" s="20">
        <f>IF(C479="","","Semana "&amp;ROUNDUP(DAY(C479)/7,0))</f>
        <v/>
      </c>
      <c r="C479" s="36" t="n"/>
      <c r="D479" s="20">
        <f>IF(C479="","",TEXT(C479,"dddd"))</f>
        <v/>
      </c>
      <c r="E479" s="20" t="n"/>
      <c r="F479" s="20">
        <f>IF(G479&lt;&gt;"",IF(LEFT(UPPER(TRIM(G479)),1)="V","Drogaria Venancio",""),IF(H479&lt;&gt;"","Cristal",""))</f>
        <v/>
      </c>
      <c r="G479" s="20" t="n"/>
      <c r="H479" s="20" t="n"/>
      <c r="I479" s="20" t="n"/>
      <c r="J479" s="20" t="n"/>
      <c r="K479" s="20" t="n"/>
      <c r="L479" s="20" t="n"/>
      <c r="M479" s="37">
        <f>IF(I479="","",HYPERLINK("https://www.google.com/maps/search/?api=1&amp;query="&amp;SUBSTITUTE(I479&amp;", "&amp;J479&amp;", Rio de Janeiro"," ","+"),"Abrir no Maps"))</f>
        <v/>
      </c>
    </row>
    <row r="480">
      <c r="A480" s="16">
        <f>IF(C480="","",TEXT(C480,"mmmm"))</f>
        <v/>
      </c>
      <c r="B480" s="16">
        <f>IF(C480="","","Semana "&amp;ROUNDUP(DAY(C480)/7,0))</f>
        <v/>
      </c>
      <c r="C480" s="34" t="n"/>
      <c r="D480" s="16">
        <f>IF(C480="","",TEXT(C480,"dddd"))</f>
        <v/>
      </c>
      <c r="E480" s="16" t="n"/>
      <c r="F480" s="16">
        <f>IF(G480&lt;&gt;"",IF(LEFT(UPPER(TRIM(G480)),1)="V","Drogaria Venancio",""),IF(H480&lt;&gt;"","Cristal",""))</f>
        <v/>
      </c>
      <c r="G480" s="16" t="n"/>
      <c r="H480" s="16" t="n"/>
      <c r="I480" s="16" t="n"/>
      <c r="J480" s="16" t="n"/>
      <c r="K480" s="16" t="n"/>
      <c r="L480" s="16" t="n"/>
      <c r="M480" s="35">
        <f>IF(I480="","",HYPERLINK("https://www.google.com/maps/search/?api=1&amp;query="&amp;SUBSTITUTE(I480&amp;", "&amp;J480&amp;", Rio de Janeiro"," ","+"),"Abrir no Maps"))</f>
        <v/>
      </c>
    </row>
    <row r="481">
      <c r="A481" s="20">
        <f>IF(C481="","",TEXT(C481,"mmmm"))</f>
        <v/>
      </c>
      <c r="B481" s="20">
        <f>IF(C481="","","Semana "&amp;ROUNDUP(DAY(C481)/7,0))</f>
        <v/>
      </c>
      <c r="C481" s="36" t="n"/>
      <c r="D481" s="20">
        <f>IF(C481="","",TEXT(C481,"dddd"))</f>
        <v/>
      </c>
      <c r="E481" s="20" t="n"/>
      <c r="F481" s="20">
        <f>IF(G481&lt;&gt;"",IF(LEFT(UPPER(TRIM(G481)),1)="V","Drogaria Venancio",""),IF(H481&lt;&gt;"","Cristal",""))</f>
        <v/>
      </c>
      <c r="G481" s="20" t="n"/>
      <c r="H481" s="20" t="n"/>
      <c r="I481" s="20" t="n"/>
      <c r="J481" s="20" t="n"/>
      <c r="K481" s="20" t="n"/>
      <c r="L481" s="20" t="n"/>
      <c r="M481" s="37">
        <f>IF(I481="","",HYPERLINK("https://www.google.com/maps/search/?api=1&amp;query="&amp;SUBSTITUTE(I481&amp;", "&amp;J481&amp;", Rio de Janeiro"," ","+"),"Abrir no Maps"))</f>
        <v/>
      </c>
    </row>
    <row r="482">
      <c r="A482" s="16">
        <f>IF(C482="","",TEXT(C482,"mmmm"))</f>
        <v/>
      </c>
      <c r="B482" s="16">
        <f>IF(C482="","","Semana "&amp;ROUNDUP(DAY(C482)/7,0))</f>
        <v/>
      </c>
      <c r="C482" s="34" t="n"/>
      <c r="D482" s="16">
        <f>IF(C482="","",TEXT(C482,"dddd"))</f>
        <v/>
      </c>
      <c r="E482" s="16" t="n"/>
      <c r="F482" s="16">
        <f>IF(G482&lt;&gt;"",IF(LEFT(UPPER(TRIM(G482)),1)="V","Drogaria Venancio",""),IF(H482&lt;&gt;"","Cristal",""))</f>
        <v/>
      </c>
      <c r="G482" s="16" t="n"/>
      <c r="H482" s="16" t="n"/>
      <c r="I482" s="16" t="n"/>
      <c r="J482" s="16" t="n"/>
      <c r="K482" s="16" t="n"/>
      <c r="L482" s="16" t="n"/>
      <c r="M482" s="35">
        <f>IF(I482="","",HYPERLINK("https://www.google.com/maps/search/?api=1&amp;query="&amp;SUBSTITUTE(I482&amp;", "&amp;J482&amp;", Rio de Janeiro"," ","+"),"Abrir no Maps"))</f>
        <v/>
      </c>
    </row>
    <row r="483">
      <c r="A483" s="20">
        <f>IF(C483="","",TEXT(C483,"mmmm"))</f>
        <v/>
      </c>
      <c r="B483" s="20">
        <f>IF(C483="","","Semana "&amp;ROUNDUP(DAY(C483)/7,0))</f>
        <v/>
      </c>
      <c r="C483" s="36" t="n"/>
      <c r="D483" s="20">
        <f>IF(C483="","",TEXT(C483,"dddd"))</f>
        <v/>
      </c>
      <c r="E483" s="20" t="n"/>
      <c r="F483" s="20">
        <f>IF(G483&lt;&gt;"",IF(LEFT(UPPER(TRIM(G483)),1)="V","Drogaria Venancio",""),IF(H483&lt;&gt;"","Cristal",""))</f>
        <v/>
      </c>
      <c r="G483" s="20" t="n"/>
      <c r="H483" s="20" t="n"/>
      <c r="I483" s="20" t="n"/>
      <c r="J483" s="20" t="n"/>
      <c r="K483" s="20" t="n"/>
      <c r="L483" s="20" t="n"/>
      <c r="M483" s="37">
        <f>IF(I483="","",HYPERLINK("https://www.google.com/maps/search/?api=1&amp;query="&amp;SUBSTITUTE(I483&amp;", "&amp;J483&amp;", Rio de Janeiro"," ","+"),"Abrir no Maps"))</f>
        <v/>
      </c>
    </row>
    <row r="484">
      <c r="A484" s="16">
        <f>IF(C484="","",TEXT(C484,"mmmm"))</f>
        <v/>
      </c>
      <c r="B484" s="16">
        <f>IF(C484="","","Semana "&amp;ROUNDUP(DAY(C484)/7,0))</f>
        <v/>
      </c>
      <c r="C484" s="34" t="n"/>
      <c r="D484" s="16">
        <f>IF(C484="","",TEXT(C484,"dddd"))</f>
        <v/>
      </c>
      <c r="E484" s="16" t="n"/>
      <c r="F484" s="16">
        <f>IF(G484&lt;&gt;"",IF(LEFT(UPPER(TRIM(G484)),1)="V","Drogaria Venancio",""),IF(H484&lt;&gt;"","Cristal",""))</f>
        <v/>
      </c>
      <c r="G484" s="16" t="n"/>
      <c r="H484" s="16" t="n"/>
      <c r="I484" s="16" t="n"/>
      <c r="J484" s="16" t="n"/>
      <c r="K484" s="16" t="n"/>
      <c r="L484" s="16" t="n"/>
      <c r="M484" s="35">
        <f>IF(I484="","",HYPERLINK("https://www.google.com/maps/search/?api=1&amp;query="&amp;SUBSTITUTE(I484&amp;", "&amp;J484&amp;", Rio de Janeiro"," ","+"),"Abrir no Maps"))</f>
        <v/>
      </c>
    </row>
    <row r="485">
      <c r="A485" s="20">
        <f>IF(C485="","",TEXT(C485,"mmmm"))</f>
        <v/>
      </c>
      <c r="B485" s="20">
        <f>IF(C485="","","Semana "&amp;ROUNDUP(DAY(C485)/7,0))</f>
        <v/>
      </c>
      <c r="C485" s="36" t="n"/>
      <c r="D485" s="20">
        <f>IF(C485="","",TEXT(C485,"dddd"))</f>
        <v/>
      </c>
      <c r="E485" s="20" t="n"/>
      <c r="F485" s="20">
        <f>IF(G485&lt;&gt;"",IF(LEFT(UPPER(TRIM(G485)),1)="V","Drogaria Venancio",""),IF(H485&lt;&gt;"","Cristal",""))</f>
        <v/>
      </c>
      <c r="G485" s="20" t="n"/>
      <c r="H485" s="20" t="n"/>
      <c r="I485" s="20" t="n"/>
      <c r="J485" s="20" t="n"/>
      <c r="K485" s="20" t="n"/>
      <c r="L485" s="20" t="n"/>
      <c r="M485" s="37">
        <f>IF(I485="","",HYPERLINK("https://www.google.com/maps/search/?api=1&amp;query="&amp;SUBSTITUTE(I485&amp;", "&amp;J485&amp;", Rio de Janeiro"," ","+"),"Abrir no Maps"))</f>
        <v/>
      </c>
    </row>
    <row r="486">
      <c r="A486" s="16">
        <f>IF(C486="","",TEXT(C486,"mmmm"))</f>
        <v/>
      </c>
      <c r="B486" s="16">
        <f>IF(C486="","","Semana "&amp;ROUNDUP(DAY(C486)/7,0))</f>
        <v/>
      </c>
      <c r="C486" s="34" t="n"/>
      <c r="D486" s="16">
        <f>IF(C486="","",TEXT(C486,"dddd"))</f>
        <v/>
      </c>
      <c r="E486" s="16" t="n"/>
      <c r="F486" s="16">
        <f>IF(G486&lt;&gt;"",IF(LEFT(UPPER(TRIM(G486)),1)="V","Drogaria Venancio",""),IF(H486&lt;&gt;"","Cristal",""))</f>
        <v/>
      </c>
      <c r="G486" s="16" t="n"/>
      <c r="H486" s="16" t="n"/>
      <c r="I486" s="16" t="n"/>
      <c r="J486" s="16" t="n"/>
      <c r="K486" s="16" t="n"/>
      <c r="L486" s="16" t="n"/>
      <c r="M486" s="35">
        <f>IF(I486="","",HYPERLINK("https://www.google.com/maps/search/?api=1&amp;query="&amp;SUBSTITUTE(I486&amp;", "&amp;J486&amp;", Rio de Janeiro"," ","+"),"Abrir no Maps"))</f>
        <v/>
      </c>
    </row>
    <row r="487">
      <c r="A487" s="20">
        <f>IF(C487="","",TEXT(C487,"mmmm"))</f>
        <v/>
      </c>
      <c r="B487" s="20">
        <f>IF(C487="","","Semana "&amp;ROUNDUP(DAY(C487)/7,0))</f>
        <v/>
      </c>
      <c r="C487" s="36" t="n"/>
      <c r="D487" s="20">
        <f>IF(C487="","",TEXT(C487,"dddd"))</f>
        <v/>
      </c>
      <c r="E487" s="20" t="n"/>
      <c r="F487" s="20">
        <f>IF(G487&lt;&gt;"",IF(LEFT(UPPER(TRIM(G487)),1)="V","Drogaria Venancio",""),IF(H487&lt;&gt;"","Cristal",""))</f>
        <v/>
      </c>
      <c r="G487" s="20" t="n"/>
      <c r="H487" s="20" t="n"/>
      <c r="I487" s="20" t="n"/>
      <c r="J487" s="20" t="n"/>
      <c r="K487" s="20" t="n"/>
      <c r="L487" s="20" t="n"/>
      <c r="M487" s="37">
        <f>IF(I487="","",HYPERLINK("https://www.google.com/maps/search/?api=1&amp;query="&amp;SUBSTITUTE(I487&amp;", "&amp;J487&amp;", Rio de Janeiro"," ","+"),"Abrir no Maps"))</f>
        <v/>
      </c>
    </row>
    <row r="488">
      <c r="A488" s="16">
        <f>IF(C488="","",TEXT(C488,"mmmm"))</f>
        <v/>
      </c>
      <c r="B488" s="16">
        <f>IF(C488="","","Semana "&amp;ROUNDUP(DAY(C488)/7,0))</f>
        <v/>
      </c>
      <c r="C488" s="34" t="n"/>
      <c r="D488" s="16">
        <f>IF(C488="","",TEXT(C488,"dddd"))</f>
        <v/>
      </c>
      <c r="E488" s="16" t="n"/>
      <c r="F488" s="16">
        <f>IF(G488&lt;&gt;"",IF(LEFT(UPPER(TRIM(G488)),1)="V","Drogaria Venancio",""),IF(H488&lt;&gt;"","Cristal",""))</f>
        <v/>
      </c>
      <c r="G488" s="16" t="n"/>
      <c r="H488" s="16" t="n"/>
      <c r="I488" s="16" t="n"/>
      <c r="J488" s="16" t="n"/>
      <c r="K488" s="16" t="n"/>
      <c r="L488" s="16" t="n"/>
      <c r="M488" s="35">
        <f>IF(I488="","",HYPERLINK("https://www.google.com/maps/search/?api=1&amp;query="&amp;SUBSTITUTE(I488&amp;", "&amp;J488&amp;", Rio de Janeiro"," ","+"),"Abrir no Maps"))</f>
        <v/>
      </c>
    </row>
    <row r="489">
      <c r="A489" s="20">
        <f>IF(C489="","",TEXT(C489,"mmmm"))</f>
        <v/>
      </c>
      <c r="B489" s="20">
        <f>IF(C489="","","Semana "&amp;ROUNDUP(DAY(C489)/7,0))</f>
        <v/>
      </c>
      <c r="C489" s="36" t="n"/>
      <c r="D489" s="20">
        <f>IF(C489="","",TEXT(C489,"dddd"))</f>
        <v/>
      </c>
      <c r="E489" s="20" t="n"/>
      <c r="F489" s="20">
        <f>IF(G489&lt;&gt;"",IF(LEFT(UPPER(TRIM(G489)),1)="V","Drogaria Venancio",""),IF(H489&lt;&gt;"","Cristal",""))</f>
        <v/>
      </c>
      <c r="G489" s="20" t="n"/>
      <c r="H489" s="20" t="n"/>
      <c r="I489" s="20" t="n"/>
      <c r="J489" s="20" t="n"/>
      <c r="K489" s="20" t="n"/>
      <c r="L489" s="20" t="n"/>
      <c r="M489" s="37">
        <f>IF(I489="","",HYPERLINK("https://www.google.com/maps/search/?api=1&amp;query="&amp;SUBSTITUTE(I489&amp;", "&amp;J489&amp;", Rio de Janeiro"," ","+"),"Abrir no Maps"))</f>
        <v/>
      </c>
    </row>
    <row r="490">
      <c r="A490" s="16">
        <f>IF(C490="","",TEXT(C490,"mmmm"))</f>
        <v/>
      </c>
      <c r="B490" s="16">
        <f>IF(C490="","","Semana "&amp;ROUNDUP(DAY(C490)/7,0))</f>
        <v/>
      </c>
      <c r="C490" s="34" t="n"/>
      <c r="D490" s="16">
        <f>IF(C490="","",TEXT(C490,"dddd"))</f>
        <v/>
      </c>
      <c r="E490" s="16" t="n"/>
      <c r="F490" s="16">
        <f>IF(G490&lt;&gt;"",IF(LEFT(UPPER(TRIM(G490)),1)="V","Drogaria Venancio",""),IF(H490&lt;&gt;"","Cristal",""))</f>
        <v/>
      </c>
      <c r="G490" s="16" t="n"/>
      <c r="H490" s="16" t="n"/>
      <c r="I490" s="16" t="n"/>
      <c r="J490" s="16" t="n"/>
      <c r="K490" s="16" t="n"/>
      <c r="L490" s="16" t="n"/>
      <c r="M490" s="35">
        <f>IF(I490="","",HYPERLINK("https://www.google.com/maps/search/?api=1&amp;query="&amp;SUBSTITUTE(I490&amp;", "&amp;J490&amp;", Rio de Janeiro"," ","+"),"Abrir no Maps"))</f>
        <v/>
      </c>
    </row>
    <row r="491">
      <c r="A491" s="20">
        <f>IF(C491="","",TEXT(C491,"mmmm"))</f>
        <v/>
      </c>
      <c r="B491" s="20">
        <f>IF(C491="","","Semana "&amp;ROUNDUP(DAY(C491)/7,0))</f>
        <v/>
      </c>
      <c r="C491" s="36" t="n"/>
      <c r="D491" s="20">
        <f>IF(C491="","",TEXT(C491,"dddd"))</f>
        <v/>
      </c>
      <c r="E491" s="20" t="n"/>
      <c r="F491" s="20">
        <f>IF(G491&lt;&gt;"",IF(LEFT(UPPER(TRIM(G491)),1)="V","Drogaria Venancio",""),IF(H491&lt;&gt;"","Cristal",""))</f>
        <v/>
      </c>
      <c r="G491" s="20" t="n"/>
      <c r="H491" s="20" t="n"/>
      <c r="I491" s="20" t="n"/>
      <c r="J491" s="20" t="n"/>
      <c r="K491" s="20" t="n"/>
      <c r="L491" s="20" t="n"/>
      <c r="M491" s="37">
        <f>IF(I491="","",HYPERLINK("https://www.google.com/maps/search/?api=1&amp;query="&amp;SUBSTITUTE(I491&amp;", "&amp;J491&amp;", Rio de Janeiro"," ","+"),"Abrir no Maps"))</f>
        <v/>
      </c>
    </row>
    <row r="492">
      <c r="A492" s="16">
        <f>IF(C492="","",TEXT(C492,"mmmm"))</f>
        <v/>
      </c>
      <c r="B492" s="16">
        <f>IF(C492="","","Semana "&amp;ROUNDUP(DAY(C492)/7,0))</f>
        <v/>
      </c>
      <c r="C492" s="34" t="n"/>
      <c r="D492" s="16">
        <f>IF(C492="","",TEXT(C492,"dddd"))</f>
        <v/>
      </c>
      <c r="E492" s="16" t="n"/>
      <c r="F492" s="16">
        <f>IF(G492&lt;&gt;"",IF(LEFT(UPPER(TRIM(G492)),1)="V","Drogaria Venancio",""),IF(H492&lt;&gt;"","Cristal",""))</f>
        <v/>
      </c>
      <c r="G492" s="16" t="n"/>
      <c r="H492" s="16" t="n"/>
      <c r="I492" s="16" t="n"/>
      <c r="J492" s="16" t="n"/>
      <c r="K492" s="16" t="n"/>
      <c r="L492" s="16" t="n"/>
      <c r="M492" s="35">
        <f>IF(I492="","",HYPERLINK("https://www.google.com/maps/search/?api=1&amp;query="&amp;SUBSTITUTE(I492&amp;", "&amp;J492&amp;", Rio de Janeiro"," ","+"),"Abrir no Maps"))</f>
        <v/>
      </c>
    </row>
    <row r="493">
      <c r="A493" s="20">
        <f>IF(C493="","",TEXT(C493,"mmmm"))</f>
        <v/>
      </c>
      <c r="B493" s="20">
        <f>IF(C493="","","Semana "&amp;ROUNDUP(DAY(C493)/7,0))</f>
        <v/>
      </c>
      <c r="C493" s="36" t="n"/>
      <c r="D493" s="20">
        <f>IF(C493="","",TEXT(C493,"dddd"))</f>
        <v/>
      </c>
      <c r="E493" s="20" t="n"/>
      <c r="F493" s="20">
        <f>IF(G493&lt;&gt;"",IF(LEFT(UPPER(TRIM(G493)),1)="V","Drogaria Venancio",""),IF(H493&lt;&gt;"","Cristal",""))</f>
        <v/>
      </c>
      <c r="G493" s="20" t="n"/>
      <c r="H493" s="20" t="n"/>
      <c r="I493" s="20" t="n"/>
      <c r="J493" s="20" t="n"/>
      <c r="K493" s="20" t="n"/>
      <c r="L493" s="20" t="n"/>
      <c r="M493" s="37">
        <f>IF(I493="","",HYPERLINK("https://www.google.com/maps/search/?api=1&amp;query="&amp;SUBSTITUTE(I493&amp;", "&amp;J493&amp;", Rio de Janeiro"," ","+"),"Abrir no Maps"))</f>
        <v/>
      </c>
    </row>
    <row r="494">
      <c r="A494" s="16">
        <f>IF(C494="","",TEXT(C494,"mmmm"))</f>
        <v/>
      </c>
      <c r="B494" s="16">
        <f>IF(C494="","","Semana "&amp;ROUNDUP(DAY(C494)/7,0))</f>
        <v/>
      </c>
      <c r="C494" s="34" t="n"/>
      <c r="D494" s="16">
        <f>IF(C494="","",TEXT(C494,"dddd"))</f>
        <v/>
      </c>
      <c r="E494" s="16" t="n"/>
      <c r="F494" s="16">
        <f>IF(G494&lt;&gt;"",IF(LEFT(UPPER(TRIM(G494)),1)="V","Drogaria Venancio",""),IF(H494&lt;&gt;"","Cristal",""))</f>
        <v/>
      </c>
      <c r="G494" s="16" t="n"/>
      <c r="H494" s="16" t="n"/>
      <c r="I494" s="16" t="n"/>
      <c r="J494" s="16" t="n"/>
      <c r="K494" s="16" t="n"/>
      <c r="L494" s="16" t="n"/>
      <c r="M494" s="35">
        <f>IF(I494="","",HYPERLINK("https://www.google.com/maps/search/?api=1&amp;query="&amp;SUBSTITUTE(I494&amp;", "&amp;J494&amp;", Rio de Janeiro"," ","+"),"Abrir no Maps"))</f>
        <v/>
      </c>
    </row>
    <row r="495">
      <c r="A495" s="20">
        <f>IF(C495="","",TEXT(C495,"mmmm"))</f>
        <v/>
      </c>
      <c r="B495" s="20">
        <f>IF(C495="","","Semana "&amp;ROUNDUP(DAY(C495)/7,0))</f>
        <v/>
      </c>
      <c r="C495" s="36" t="n"/>
      <c r="D495" s="20">
        <f>IF(C495="","",TEXT(C495,"dddd"))</f>
        <v/>
      </c>
      <c r="E495" s="20" t="n"/>
      <c r="F495" s="20">
        <f>IF(G495&lt;&gt;"",IF(LEFT(UPPER(TRIM(G495)),1)="V","Drogaria Venancio",""),IF(H495&lt;&gt;"","Cristal",""))</f>
        <v/>
      </c>
      <c r="G495" s="20" t="n"/>
      <c r="H495" s="20" t="n"/>
      <c r="I495" s="20" t="n"/>
      <c r="J495" s="20" t="n"/>
      <c r="K495" s="20" t="n"/>
      <c r="L495" s="20" t="n"/>
      <c r="M495" s="37">
        <f>IF(I495="","",HYPERLINK("https://www.google.com/maps/search/?api=1&amp;query="&amp;SUBSTITUTE(I495&amp;", "&amp;J495&amp;", Rio de Janeiro"," ","+"),"Abrir no Maps"))</f>
        <v/>
      </c>
    </row>
    <row r="496">
      <c r="A496" s="16">
        <f>IF(C496="","",TEXT(C496,"mmmm"))</f>
        <v/>
      </c>
      <c r="B496" s="16">
        <f>IF(C496="","","Semana "&amp;ROUNDUP(DAY(C496)/7,0))</f>
        <v/>
      </c>
      <c r="C496" s="34" t="n"/>
      <c r="D496" s="16">
        <f>IF(C496="","",TEXT(C496,"dddd"))</f>
        <v/>
      </c>
      <c r="E496" s="16" t="n"/>
      <c r="F496" s="16">
        <f>IF(G496&lt;&gt;"",IF(LEFT(UPPER(TRIM(G496)),1)="V","Drogaria Venancio",""),IF(H496&lt;&gt;"","Cristal",""))</f>
        <v/>
      </c>
      <c r="G496" s="16" t="n"/>
      <c r="H496" s="16" t="n"/>
      <c r="I496" s="16" t="n"/>
      <c r="J496" s="16" t="n"/>
      <c r="K496" s="16" t="n"/>
      <c r="L496" s="16" t="n"/>
      <c r="M496" s="35">
        <f>IF(I496="","",HYPERLINK("https://www.google.com/maps/search/?api=1&amp;query="&amp;SUBSTITUTE(I496&amp;", "&amp;J496&amp;", Rio de Janeiro"," ","+"),"Abrir no Maps"))</f>
        <v/>
      </c>
    </row>
    <row r="497">
      <c r="A497" s="20">
        <f>IF(C497="","",TEXT(C497,"mmmm"))</f>
        <v/>
      </c>
      <c r="B497" s="20">
        <f>IF(C497="","","Semana "&amp;ROUNDUP(DAY(C497)/7,0))</f>
        <v/>
      </c>
      <c r="C497" s="36" t="n"/>
      <c r="D497" s="20">
        <f>IF(C497="","",TEXT(C497,"dddd"))</f>
        <v/>
      </c>
      <c r="E497" s="20" t="n"/>
      <c r="F497" s="20">
        <f>IF(G497&lt;&gt;"",IF(LEFT(UPPER(TRIM(G497)),1)="V","Drogaria Venancio",""),IF(H497&lt;&gt;"","Cristal",""))</f>
        <v/>
      </c>
      <c r="G497" s="20" t="n"/>
      <c r="H497" s="20" t="n"/>
      <c r="I497" s="20" t="n"/>
      <c r="J497" s="20" t="n"/>
      <c r="K497" s="20" t="n"/>
      <c r="L497" s="20" t="n"/>
      <c r="M497" s="37">
        <f>IF(I497="","",HYPERLINK("https://www.google.com/maps/search/?api=1&amp;query="&amp;SUBSTITUTE(I497&amp;", "&amp;J497&amp;", Rio de Janeiro"," ","+"),"Abrir no Maps"))</f>
        <v/>
      </c>
    </row>
    <row r="498">
      <c r="A498" s="16">
        <f>IF(C498="","",TEXT(C498,"mmmm"))</f>
        <v/>
      </c>
      <c r="B498" s="16">
        <f>IF(C498="","","Semana "&amp;ROUNDUP(DAY(C498)/7,0))</f>
        <v/>
      </c>
      <c r="C498" s="34" t="n"/>
      <c r="D498" s="16">
        <f>IF(C498="","",TEXT(C498,"dddd"))</f>
        <v/>
      </c>
      <c r="E498" s="16" t="n"/>
      <c r="F498" s="16">
        <f>IF(G498&lt;&gt;"",IF(LEFT(UPPER(TRIM(G498)),1)="V","Drogaria Venancio",""),IF(H498&lt;&gt;"","Cristal",""))</f>
        <v/>
      </c>
      <c r="G498" s="16" t="n"/>
      <c r="H498" s="16" t="n"/>
      <c r="I498" s="16" t="n"/>
      <c r="J498" s="16" t="n"/>
      <c r="K498" s="16" t="n"/>
      <c r="L498" s="16" t="n"/>
      <c r="M498" s="35">
        <f>IF(I498="","",HYPERLINK("https://www.google.com/maps/search/?api=1&amp;query="&amp;SUBSTITUTE(I498&amp;", "&amp;J498&amp;", Rio de Janeiro"," ","+"),"Abrir no Maps"))</f>
        <v/>
      </c>
    </row>
    <row r="499">
      <c r="A499" s="20">
        <f>IF(C499="","",TEXT(C499,"mmmm"))</f>
        <v/>
      </c>
      <c r="B499" s="20">
        <f>IF(C499="","","Semana "&amp;ROUNDUP(DAY(C499)/7,0))</f>
        <v/>
      </c>
      <c r="C499" s="36" t="n"/>
      <c r="D499" s="20">
        <f>IF(C499="","",TEXT(C499,"dddd"))</f>
        <v/>
      </c>
      <c r="E499" s="20" t="n"/>
      <c r="F499" s="20">
        <f>IF(G499&lt;&gt;"",IF(LEFT(UPPER(TRIM(G499)),1)="V","Drogaria Venancio",""),IF(H499&lt;&gt;"","Cristal",""))</f>
        <v/>
      </c>
      <c r="G499" s="20" t="n"/>
      <c r="H499" s="20" t="n"/>
      <c r="I499" s="20" t="n"/>
      <c r="J499" s="20" t="n"/>
      <c r="K499" s="20" t="n"/>
      <c r="L499" s="20" t="n"/>
      <c r="M499" s="37">
        <f>IF(I499="","",HYPERLINK("https://www.google.com/maps/search/?api=1&amp;query="&amp;SUBSTITUTE(I499&amp;", "&amp;J499&amp;", Rio de Janeiro"," ","+"),"Abrir no Maps"))</f>
        <v/>
      </c>
    </row>
    <row r="500">
      <c r="A500" s="16">
        <f>IF(C500="","",TEXT(C500,"mmmm"))</f>
        <v/>
      </c>
      <c r="B500" s="16">
        <f>IF(C500="","","Semana "&amp;ROUNDUP(DAY(C500)/7,0))</f>
        <v/>
      </c>
      <c r="C500" s="34" t="n"/>
      <c r="D500" s="16">
        <f>IF(C500="","",TEXT(C500,"dddd"))</f>
        <v/>
      </c>
      <c r="E500" s="16" t="n"/>
      <c r="F500" s="16">
        <f>IF(G500&lt;&gt;"",IF(LEFT(UPPER(TRIM(G500)),1)="V","Drogaria Venancio",""),IF(H500&lt;&gt;"","Cristal",""))</f>
        <v/>
      </c>
      <c r="G500" s="16" t="n"/>
      <c r="H500" s="16" t="n"/>
      <c r="I500" s="16" t="n"/>
      <c r="J500" s="16" t="n"/>
      <c r="K500" s="16" t="n"/>
      <c r="L500" s="16" t="n"/>
      <c r="M500" s="35">
        <f>IF(I500="","",HYPERLINK("https://www.google.com/maps/search/?api=1&amp;query="&amp;SUBSTITUTE(I500&amp;", "&amp;J500&amp;", Rio de Janeiro"," ","+"),"Abrir no Maps"))</f>
        <v/>
      </c>
    </row>
    <row r="501">
      <c r="A501">
        <f>IF(C501="","",TEXT(C501,"mmmm"))</f>
        <v/>
      </c>
      <c r="B501">
        <f>IF(C501="","","Semana "&amp;ROUNDUP(DAY(C501)/7,0))</f>
        <v/>
      </c>
      <c r="D501">
        <f>IF(C501="","",TEXT(C501,"dddd"))</f>
        <v/>
      </c>
      <c r="F501">
        <f>IF(G501&lt;&gt;"",IF(LEFT(UPPER(TRIM(G501)),1)="V","Drogaria Venancio",""),IF(H501&lt;&gt;"","Cristal",""))</f>
        <v/>
      </c>
      <c r="M501">
        <f>IF(I501="","",HYPERLINK("https://www.google.com/maps/search/?api=1&amp;query="&amp;SUBSTITUTE(I501&amp;", "&amp;J501&amp;", Rio de Janeiro"," ","+"),"Abrir no Maps"))</f>
        <v/>
      </c>
    </row>
  </sheetData>
  <autoFilter ref="A1:M500"/>
  <conditionalFormatting sqref="K2:K500">
    <cfRule type="expression" priority="1" dxfId="0">
      <formula>$K2="Concluído"</formula>
    </cfRule>
    <cfRule type="expression" priority="2" dxfId="1">
      <formula>$K2="Em andamento"</formula>
    </cfRule>
    <cfRule type="expression" priority="3" dxfId="2">
      <formula>$K2="Não realizado"</formula>
    </cfRule>
    <cfRule type="expression" priority="4" dxfId="3">
      <formula>$K2="Reagendado"</formula>
    </cfRule>
    <cfRule type="expression" priority="5" dxfId="4">
      <formula>$K2="Pendente"</formula>
    </cfRule>
  </conditionalFormatting>
  <conditionalFormatting sqref="F2:F500">
    <cfRule type="expression" priority="6" dxfId="5">
      <formula>$F2="Drogaria Venancio"</formula>
    </cfRule>
    <cfRule type="expression" priority="7" dxfId="6">
      <formula>$F2="Cristal"</formula>
    </cfRule>
  </conditionalFormatting>
  <dataValidations count="2">
    <dataValidation sqref="K2:K500" showDropDown="0" showInputMessage="0" showErrorMessage="0" allowBlank="1" errorTitle="Status inválido" error="Selecione um status da lista." type="list">
      <formula1>"Pendente,Em andamento,Concluído,Não realizado,Reagendado"</formula1>
    </dataValidation>
    <dataValidation sqref="F2:F500" showDropDown="0" showInputMessage="0" showErrorMessage="0" allowBlank="1" type="list">
      <formula1>"Drogaria Venancio,Cristal"</formula1>
    </dataValidation>
  </dataValidation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H1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20" customWidth="1" min="3" max="3"/>
    <col width="16" customWidth="1" min="4" max="4"/>
    <col width="22" customWidth="1" min="5" max="5"/>
    <col width="30" customWidth="1" min="6" max="6"/>
    <col width="42" customWidth="1" min="7" max="7"/>
    <col width="24" customWidth="1" min="8" max="8"/>
  </cols>
  <sheetData>
    <row r="1">
      <c r="A1" s="24" t="inlineStr">
        <is>
          <t>CADASTRO RÁPIDO</t>
        </is>
      </c>
    </row>
    <row r="2">
      <c r="A2" s="25" t="inlineStr">
        <is>
          <t>Cole uma ou várias linhas em A5. Use o formato: Código/Loja — Endereço — Bairro.</t>
        </is>
      </c>
    </row>
    <row r="4">
      <c r="A4" s="26" t="inlineStr">
        <is>
          <t>Texto original</t>
        </is>
      </c>
      <c r="B4" s="26" t="inlineStr">
        <is>
          <t>Data</t>
        </is>
      </c>
      <c r="C4" s="26" t="inlineStr">
        <is>
          <t>Região</t>
        </is>
      </c>
      <c r="D4" s="26" t="inlineStr">
        <is>
          <t>Código (auto)</t>
        </is>
      </c>
      <c r="E4" s="26" t="inlineStr">
        <is>
          <t>Rede (auto)</t>
        </is>
      </c>
      <c r="F4" s="26" t="inlineStr">
        <is>
          <t>Unidade / Loja (auto)</t>
        </is>
      </c>
      <c r="G4" s="26" t="inlineStr">
        <is>
          <t>Endereço (auto)</t>
        </is>
      </c>
      <c r="H4" s="26" t="inlineStr">
        <is>
          <t>Bairro (auto)</t>
        </is>
      </c>
    </row>
    <row r="5">
      <c r="A5" s="27" t="n"/>
      <c r="B5" s="38" t="n"/>
      <c r="C5" s="27" t="n"/>
      <c r="D5" s="27">
        <f>IF(A5="","",IF(LEFT(UPPER(TRIM(A5)),1)="V",IFERROR(TEXTBEFORE(TRIM(A5),"—"),TRIM(A5)),""))</f>
        <v/>
      </c>
      <c r="E5" s="27">
        <f>IF(A5="","",IF(LEFT(UPPER(TRIM(A5)),1)="V","Drogaria Venancio","Cristal"))</f>
        <v/>
      </c>
      <c r="F5" s="27">
        <f>IF(A5="","",IF(LEFT(UPPER(TRIM(A5)),1)="V","",TRIM(SUBSTITUTE(IFERROR(TRIM(TEXTBEFORE(A5,"—")),TRIM(A5)),"(Cristal)",""))))</f>
        <v/>
      </c>
      <c r="G5" s="27">
        <f>IF(A5="","",IFERROR(TRIM(TEXTBEFORE(TEXTAFTER(A5,"—"),"—")),""))</f>
        <v/>
      </c>
      <c r="H5" s="27">
        <f>IF(A5="","",IFERROR(TRIM(TEXTAFTER(A5,"—",2)),""))</f>
        <v/>
      </c>
    </row>
    <row r="6">
      <c r="A6" s="29" t="n"/>
      <c r="B6" s="39" t="n"/>
      <c r="C6" s="29" t="n"/>
      <c r="D6" s="29">
        <f>IF(A6="","",IF(LEFT(UPPER(TRIM(A6)),1)="V",IFERROR(TEXTBEFORE(TRIM(A6),"—"),TRIM(A6)),""))</f>
        <v/>
      </c>
      <c r="E6" s="29">
        <f>IF(A6="","",IF(LEFT(UPPER(TRIM(A6)),1)="V","Drogaria Venancio","Cristal"))</f>
        <v/>
      </c>
      <c r="F6" s="29">
        <f>IF(A6="","",IF(LEFT(UPPER(TRIM(A6)),1)="V","",TRIM(SUBSTITUTE(IFERROR(TRIM(TEXTBEFORE(A6,"—")),TRIM(A6)),"(Cristal)",""))))</f>
        <v/>
      </c>
      <c r="G6" s="29">
        <f>IF(A6="","",IFERROR(TRIM(TEXTBEFORE(TEXTAFTER(A6,"—"),"—")),""))</f>
        <v/>
      </c>
      <c r="H6" s="29">
        <f>IF(A6="","",IFERROR(TRIM(TEXTAFTER(A6,"—",2)),""))</f>
        <v/>
      </c>
    </row>
    <row r="7">
      <c r="A7" s="27" t="n"/>
      <c r="B7" s="38" t="n"/>
      <c r="C7" s="27" t="n"/>
      <c r="D7" s="27">
        <f>IF(A7="","",IF(LEFT(UPPER(TRIM(A7)),1)="V",IFERROR(TEXTBEFORE(TRIM(A7),"—"),TRIM(A7)),""))</f>
        <v/>
      </c>
      <c r="E7" s="27">
        <f>IF(A7="","",IF(LEFT(UPPER(TRIM(A7)),1)="V","Drogaria Venancio","Cristal"))</f>
        <v/>
      </c>
      <c r="F7" s="27">
        <f>IF(A7="","",IF(LEFT(UPPER(TRIM(A7)),1)="V","",TRIM(SUBSTITUTE(IFERROR(TRIM(TEXTBEFORE(A7,"—")),TRIM(A7)),"(Cristal)",""))))</f>
        <v/>
      </c>
      <c r="G7" s="27">
        <f>IF(A7="","",IFERROR(TRIM(TEXTBEFORE(TEXTAFTER(A7,"—"),"—")),""))</f>
        <v/>
      </c>
      <c r="H7" s="27">
        <f>IF(A7="","",IFERROR(TRIM(TEXTAFTER(A7,"—",2)),""))</f>
        <v/>
      </c>
    </row>
    <row r="8">
      <c r="A8" s="29" t="n"/>
      <c r="B8" s="39" t="n"/>
      <c r="C8" s="29" t="n"/>
      <c r="D8" s="29">
        <f>IF(A8="","",IF(LEFT(UPPER(TRIM(A8)),1)="V",IFERROR(TEXTBEFORE(TRIM(A8),"—"),TRIM(A8)),""))</f>
        <v/>
      </c>
      <c r="E8" s="29">
        <f>IF(A8="","",IF(LEFT(UPPER(TRIM(A8)),1)="V","Drogaria Venancio","Cristal"))</f>
        <v/>
      </c>
      <c r="F8" s="29">
        <f>IF(A8="","",IF(LEFT(UPPER(TRIM(A8)),1)="V","",TRIM(SUBSTITUTE(IFERROR(TRIM(TEXTBEFORE(A8,"—")),TRIM(A8)),"(Cristal)",""))))</f>
        <v/>
      </c>
      <c r="G8" s="29">
        <f>IF(A8="","",IFERROR(TRIM(TEXTBEFORE(TEXTAFTER(A8,"—"),"—")),""))</f>
        <v/>
      </c>
      <c r="H8" s="29">
        <f>IF(A8="","",IFERROR(TRIM(TEXTAFTER(A8,"—",2)),""))</f>
        <v/>
      </c>
    </row>
    <row r="9">
      <c r="A9" s="27" t="n"/>
      <c r="B9" s="38" t="n"/>
      <c r="C9" s="27" t="n"/>
      <c r="D9" s="27">
        <f>IF(A9="","",IF(LEFT(UPPER(TRIM(A9)),1)="V",IFERROR(TEXTBEFORE(TRIM(A9),"—"),TRIM(A9)),""))</f>
        <v/>
      </c>
      <c r="E9" s="27">
        <f>IF(A9="","",IF(LEFT(UPPER(TRIM(A9)),1)="V","Drogaria Venancio","Cristal"))</f>
        <v/>
      </c>
      <c r="F9" s="27">
        <f>IF(A9="","",IF(LEFT(UPPER(TRIM(A9)),1)="V","",TRIM(SUBSTITUTE(IFERROR(TRIM(TEXTBEFORE(A9,"—")),TRIM(A9)),"(Cristal)",""))))</f>
        <v/>
      </c>
      <c r="G9" s="27">
        <f>IF(A9="","",IFERROR(TRIM(TEXTBEFORE(TEXTAFTER(A9,"—"),"—")),""))</f>
        <v/>
      </c>
      <c r="H9" s="27">
        <f>IF(A9="","",IFERROR(TRIM(TEXTAFTER(A9,"—",2)),""))</f>
        <v/>
      </c>
    </row>
    <row r="10">
      <c r="A10" s="29" t="n"/>
      <c r="B10" s="39" t="n"/>
      <c r="C10" s="29" t="n"/>
      <c r="D10" s="29">
        <f>IF(A10="","",IF(LEFT(UPPER(TRIM(A10)),1)="V",IFERROR(TEXTBEFORE(TRIM(A10),"—"),TRIM(A10)),""))</f>
        <v/>
      </c>
      <c r="E10" s="29">
        <f>IF(A10="","",IF(LEFT(UPPER(TRIM(A10)),1)="V","Drogaria Venancio","Cristal"))</f>
        <v/>
      </c>
      <c r="F10" s="29">
        <f>IF(A10="","",IF(LEFT(UPPER(TRIM(A10)),1)="V","",TRIM(SUBSTITUTE(IFERROR(TRIM(TEXTBEFORE(A10,"—")),TRIM(A10)),"(Cristal)",""))))</f>
        <v/>
      </c>
      <c r="G10" s="29">
        <f>IF(A10="","",IFERROR(TRIM(TEXTBEFORE(TEXTAFTER(A10,"—"),"—")),""))</f>
        <v/>
      </c>
      <c r="H10" s="29">
        <f>IF(A10="","",IFERROR(TRIM(TEXTAFTER(A10,"—",2)),""))</f>
        <v/>
      </c>
    </row>
    <row r="11">
      <c r="A11" s="27" t="n"/>
      <c r="B11" s="38" t="n"/>
      <c r="C11" s="27" t="n"/>
      <c r="D11" s="27">
        <f>IF(A11="","",IF(LEFT(UPPER(TRIM(A11)),1)="V",IFERROR(TEXTBEFORE(TRIM(A11),"—"),TRIM(A11)),""))</f>
        <v/>
      </c>
      <c r="E11" s="27">
        <f>IF(A11="","",IF(LEFT(UPPER(TRIM(A11)),1)="V","Drogaria Venancio","Cristal"))</f>
        <v/>
      </c>
      <c r="F11" s="27">
        <f>IF(A11="","",IF(LEFT(UPPER(TRIM(A11)),1)="V","",TRIM(SUBSTITUTE(IFERROR(TRIM(TEXTBEFORE(A11,"—")),TRIM(A11)),"(Cristal)",""))))</f>
        <v/>
      </c>
      <c r="G11" s="27">
        <f>IF(A11="","",IFERROR(TRIM(TEXTBEFORE(TEXTAFTER(A11,"—"),"—")),""))</f>
        <v/>
      </c>
      <c r="H11" s="27">
        <f>IF(A11="","",IFERROR(TRIM(TEXTAFTER(A11,"—",2)),""))</f>
        <v/>
      </c>
    </row>
    <row r="12">
      <c r="A12" s="29" t="n"/>
      <c r="B12" s="39" t="n"/>
      <c r="C12" s="29" t="n"/>
      <c r="D12" s="29">
        <f>IF(A12="","",IF(LEFT(UPPER(TRIM(A12)),1)="V",IFERROR(TEXTBEFORE(TRIM(A12),"—"),TRIM(A12)),""))</f>
        <v/>
      </c>
      <c r="E12" s="29">
        <f>IF(A12="","",IF(LEFT(UPPER(TRIM(A12)),1)="V","Drogaria Venancio","Cristal"))</f>
        <v/>
      </c>
      <c r="F12" s="29">
        <f>IF(A12="","",IF(LEFT(UPPER(TRIM(A12)),1)="V","",TRIM(SUBSTITUTE(IFERROR(TRIM(TEXTBEFORE(A12,"—")),TRIM(A12)),"(Cristal)",""))))</f>
        <v/>
      </c>
      <c r="G12" s="29">
        <f>IF(A12="","",IFERROR(TRIM(TEXTBEFORE(TEXTAFTER(A12,"—"),"—")),""))</f>
        <v/>
      </c>
      <c r="H12" s="29">
        <f>IF(A12="","",IFERROR(TRIM(TEXTAFTER(A12,"—",2)),""))</f>
        <v/>
      </c>
    </row>
    <row r="13">
      <c r="A13" s="27" t="n"/>
      <c r="B13" s="38" t="n"/>
      <c r="C13" s="27" t="n"/>
      <c r="D13" s="27">
        <f>IF(A13="","",IF(LEFT(UPPER(TRIM(A13)),1)="V",IFERROR(TEXTBEFORE(TRIM(A13),"—"),TRIM(A13)),""))</f>
        <v/>
      </c>
      <c r="E13" s="27">
        <f>IF(A13="","",IF(LEFT(UPPER(TRIM(A13)),1)="V","Drogaria Venancio","Cristal"))</f>
        <v/>
      </c>
      <c r="F13" s="27">
        <f>IF(A13="","",IF(LEFT(UPPER(TRIM(A13)),1)="V","",TRIM(SUBSTITUTE(IFERROR(TRIM(TEXTBEFORE(A13,"—")),TRIM(A13)),"(Cristal)",""))))</f>
        <v/>
      </c>
      <c r="G13" s="27">
        <f>IF(A13="","",IFERROR(TRIM(TEXTBEFORE(TEXTAFTER(A13,"—"),"—")),""))</f>
        <v/>
      </c>
      <c r="H13" s="27">
        <f>IF(A13="","",IFERROR(TRIM(TEXTAFTER(A13,"—",2)),""))</f>
        <v/>
      </c>
    </row>
    <row r="14">
      <c r="A14" s="29" t="n"/>
      <c r="B14" s="39" t="n"/>
      <c r="C14" s="29" t="n"/>
      <c r="D14" s="29">
        <f>IF(A14="","",IF(LEFT(UPPER(TRIM(A14)),1)="V",IFERROR(TEXTBEFORE(TRIM(A14),"—"),TRIM(A14)),""))</f>
        <v/>
      </c>
      <c r="E14" s="29">
        <f>IF(A14="","",IF(LEFT(UPPER(TRIM(A14)),1)="V","Drogaria Venancio","Cristal"))</f>
        <v/>
      </c>
      <c r="F14" s="29">
        <f>IF(A14="","",IF(LEFT(UPPER(TRIM(A14)),1)="V","",TRIM(SUBSTITUTE(IFERROR(TRIM(TEXTBEFORE(A14,"—")),TRIM(A14)),"(Cristal)",""))))</f>
        <v/>
      </c>
      <c r="G14" s="29">
        <f>IF(A14="","",IFERROR(TRIM(TEXTBEFORE(TEXTAFTER(A14,"—"),"—")),""))</f>
        <v/>
      </c>
      <c r="H14" s="29">
        <f>IF(A14="","",IFERROR(TRIM(TEXTAFTER(A14,"—",2)),""))</f>
        <v/>
      </c>
    </row>
    <row r="15">
      <c r="A15" s="27" t="n"/>
      <c r="B15" s="38" t="n"/>
      <c r="C15" s="27" t="n"/>
      <c r="D15" s="27">
        <f>IF(A15="","",IF(LEFT(UPPER(TRIM(A15)),1)="V",IFERROR(TEXTBEFORE(TRIM(A15),"—"),TRIM(A15)),""))</f>
        <v/>
      </c>
      <c r="E15" s="27">
        <f>IF(A15="","",IF(LEFT(UPPER(TRIM(A15)),1)="V","Drogaria Venancio","Cristal"))</f>
        <v/>
      </c>
      <c r="F15" s="27">
        <f>IF(A15="","",IF(LEFT(UPPER(TRIM(A15)),1)="V","",TRIM(SUBSTITUTE(IFERROR(TRIM(TEXTBEFORE(A15,"—")),TRIM(A15)),"(Cristal)",""))))</f>
        <v/>
      </c>
      <c r="G15" s="27">
        <f>IF(A15="","",IFERROR(TRIM(TEXTBEFORE(TEXTAFTER(A15,"—"),"—")),""))</f>
        <v/>
      </c>
      <c r="H15" s="27">
        <f>IF(A15="","",IFERROR(TRIM(TEXTAFTER(A15,"—",2)),""))</f>
        <v/>
      </c>
    </row>
    <row r="16">
      <c r="A16" s="29" t="n"/>
      <c r="B16" s="39" t="n"/>
      <c r="C16" s="29" t="n"/>
      <c r="D16" s="29">
        <f>IF(A16="","",IF(LEFT(UPPER(TRIM(A16)),1)="V",IFERROR(TEXTBEFORE(TRIM(A16),"—"),TRIM(A16)),""))</f>
        <v/>
      </c>
      <c r="E16" s="29">
        <f>IF(A16="","",IF(LEFT(UPPER(TRIM(A16)),1)="V","Drogaria Venancio","Cristal"))</f>
        <v/>
      </c>
      <c r="F16" s="29">
        <f>IF(A16="","",IF(LEFT(UPPER(TRIM(A16)),1)="V","",TRIM(SUBSTITUTE(IFERROR(TRIM(TEXTBEFORE(A16,"—")),TRIM(A16)),"(Cristal)",""))))</f>
        <v/>
      </c>
      <c r="G16" s="29">
        <f>IF(A16="","",IFERROR(TRIM(TEXTBEFORE(TEXTAFTER(A16,"—"),"—")),""))</f>
        <v/>
      </c>
      <c r="H16" s="29">
        <f>IF(A16="","",IFERROR(TRIM(TEXTAFTER(A16,"—",2)),""))</f>
        <v/>
      </c>
    </row>
    <row r="17">
      <c r="A17" s="27" t="n"/>
      <c r="B17" s="38" t="n"/>
      <c r="C17" s="27" t="n"/>
      <c r="D17" s="27">
        <f>IF(A17="","",IF(LEFT(UPPER(TRIM(A17)),1)="V",IFERROR(TEXTBEFORE(TRIM(A17),"—"),TRIM(A17)),""))</f>
        <v/>
      </c>
      <c r="E17" s="27">
        <f>IF(A17="","",IF(LEFT(UPPER(TRIM(A17)),1)="V","Drogaria Venancio","Cristal"))</f>
        <v/>
      </c>
      <c r="F17" s="27">
        <f>IF(A17="","",IF(LEFT(UPPER(TRIM(A17)),1)="V","",TRIM(SUBSTITUTE(IFERROR(TRIM(TEXTBEFORE(A17,"—")),TRIM(A17)),"(Cristal)",""))))</f>
        <v/>
      </c>
      <c r="G17" s="27">
        <f>IF(A17="","",IFERROR(TRIM(TEXTBEFORE(TEXTAFTER(A17,"—"),"—")),""))</f>
        <v/>
      </c>
      <c r="H17" s="27">
        <f>IF(A17="","",IFERROR(TRIM(TEXTAFTER(A17,"—",2)),""))</f>
        <v/>
      </c>
    </row>
    <row r="18">
      <c r="A18" s="29" t="n"/>
      <c r="B18" s="39" t="n"/>
      <c r="C18" s="29" t="n"/>
      <c r="D18" s="29">
        <f>IF(A18="","",IF(LEFT(UPPER(TRIM(A18)),1)="V",IFERROR(TEXTBEFORE(TRIM(A18),"—"),TRIM(A18)),""))</f>
        <v/>
      </c>
      <c r="E18" s="29">
        <f>IF(A18="","",IF(LEFT(UPPER(TRIM(A18)),1)="V","Drogaria Venancio","Cristal"))</f>
        <v/>
      </c>
      <c r="F18" s="29">
        <f>IF(A18="","",IF(LEFT(UPPER(TRIM(A18)),1)="V","",TRIM(SUBSTITUTE(IFERROR(TRIM(TEXTBEFORE(A18,"—")),TRIM(A18)),"(Cristal)",""))))</f>
        <v/>
      </c>
      <c r="G18" s="29">
        <f>IF(A18="","",IFERROR(TRIM(TEXTBEFORE(TEXTAFTER(A18,"—"),"—")),""))</f>
        <v/>
      </c>
      <c r="H18" s="29">
        <f>IF(A18="","",IFERROR(TRIM(TEXTAFTER(A18,"—",2)),""))</f>
        <v/>
      </c>
    </row>
    <row r="19">
      <c r="A19" s="27" t="n"/>
      <c r="B19" s="38" t="n"/>
      <c r="C19" s="27" t="n"/>
      <c r="D19" s="27">
        <f>IF(A19="","",IF(LEFT(UPPER(TRIM(A19)),1)="V",IFERROR(TEXTBEFORE(TRIM(A19),"—"),TRIM(A19)),""))</f>
        <v/>
      </c>
      <c r="E19" s="27">
        <f>IF(A19="","",IF(LEFT(UPPER(TRIM(A19)),1)="V","Drogaria Venancio","Cristal"))</f>
        <v/>
      </c>
      <c r="F19" s="27">
        <f>IF(A19="","",IF(LEFT(UPPER(TRIM(A19)),1)="V","",TRIM(SUBSTITUTE(IFERROR(TRIM(TEXTBEFORE(A19,"—")),TRIM(A19)),"(Cristal)",""))))</f>
        <v/>
      </c>
      <c r="G19" s="27">
        <f>IF(A19="","",IFERROR(TRIM(TEXTBEFORE(TEXTAFTER(A19,"—"),"—")),""))</f>
        <v/>
      </c>
      <c r="H19" s="27">
        <f>IF(A19="","",IFERROR(TRIM(TEXTAFTER(A19,"—",2)),""))</f>
        <v/>
      </c>
    </row>
    <row r="20">
      <c r="A20" s="29" t="n"/>
      <c r="B20" s="39" t="n"/>
      <c r="C20" s="29" t="n"/>
      <c r="D20" s="29">
        <f>IF(A20="","",IF(LEFT(UPPER(TRIM(A20)),1)="V",IFERROR(TEXTBEFORE(TRIM(A20),"—"),TRIM(A20)),""))</f>
        <v/>
      </c>
      <c r="E20" s="29">
        <f>IF(A20="","",IF(LEFT(UPPER(TRIM(A20)),1)="V","Drogaria Venancio","Cristal"))</f>
        <v/>
      </c>
      <c r="F20" s="29">
        <f>IF(A20="","",IF(LEFT(UPPER(TRIM(A20)),1)="V","",TRIM(SUBSTITUTE(IFERROR(TRIM(TEXTBEFORE(A20,"—")),TRIM(A20)),"(Cristal)",""))))</f>
        <v/>
      </c>
      <c r="G20" s="29">
        <f>IF(A20="","",IFERROR(TRIM(TEXTBEFORE(TEXTAFTER(A20,"—"),"—")),""))</f>
        <v/>
      </c>
      <c r="H20" s="29">
        <f>IF(A20="","",IFERROR(TRIM(TEXTAFTER(A20,"—",2)),""))</f>
        <v/>
      </c>
    </row>
    <row r="21">
      <c r="A21" s="27" t="n"/>
      <c r="B21" s="38" t="n"/>
      <c r="C21" s="27" t="n"/>
      <c r="D21" s="27">
        <f>IF(A21="","",IF(LEFT(UPPER(TRIM(A21)),1)="V",IFERROR(TEXTBEFORE(TRIM(A21),"—"),TRIM(A21)),""))</f>
        <v/>
      </c>
      <c r="E21" s="27">
        <f>IF(A21="","",IF(LEFT(UPPER(TRIM(A21)),1)="V","Drogaria Venancio","Cristal"))</f>
        <v/>
      </c>
      <c r="F21" s="27">
        <f>IF(A21="","",IF(LEFT(UPPER(TRIM(A21)),1)="V","",TRIM(SUBSTITUTE(IFERROR(TRIM(TEXTBEFORE(A21,"—")),TRIM(A21)),"(Cristal)",""))))</f>
        <v/>
      </c>
      <c r="G21" s="27">
        <f>IF(A21="","",IFERROR(TRIM(TEXTBEFORE(TEXTAFTER(A21,"—"),"—")),""))</f>
        <v/>
      </c>
      <c r="H21" s="27">
        <f>IF(A21="","",IFERROR(TRIM(TEXTAFTER(A21,"—",2)),""))</f>
        <v/>
      </c>
    </row>
    <row r="22">
      <c r="A22" s="29" t="n"/>
      <c r="B22" s="39" t="n"/>
      <c r="C22" s="29" t="n"/>
      <c r="D22" s="29">
        <f>IF(A22="","",IF(LEFT(UPPER(TRIM(A22)),1)="V",IFERROR(TEXTBEFORE(TRIM(A22),"—"),TRIM(A22)),""))</f>
        <v/>
      </c>
      <c r="E22" s="29">
        <f>IF(A22="","",IF(LEFT(UPPER(TRIM(A22)),1)="V","Drogaria Venancio","Cristal"))</f>
        <v/>
      </c>
      <c r="F22" s="29">
        <f>IF(A22="","",IF(LEFT(UPPER(TRIM(A22)),1)="V","",TRIM(SUBSTITUTE(IFERROR(TRIM(TEXTBEFORE(A22,"—")),TRIM(A22)),"(Cristal)",""))))</f>
        <v/>
      </c>
      <c r="G22" s="29">
        <f>IF(A22="","",IFERROR(TRIM(TEXTBEFORE(TEXTAFTER(A22,"—"),"—")),""))</f>
        <v/>
      </c>
      <c r="H22" s="29">
        <f>IF(A22="","",IFERROR(TRIM(TEXTAFTER(A22,"—",2)),""))</f>
        <v/>
      </c>
    </row>
    <row r="23">
      <c r="A23" s="27" t="n"/>
      <c r="B23" s="38" t="n"/>
      <c r="C23" s="27" t="n"/>
      <c r="D23" s="27">
        <f>IF(A23="","",IF(LEFT(UPPER(TRIM(A23)),1)="V",IFERROR(TEXTBEFORE(TRIM(A23),"—"),TRIM(A23)),""))</f>
        <v/>
      </c>
      <c r="E23" s="27">
        <f>IF(A23="","",IF(LEFT(UPPER(TRIM(A23)),1)="V","Drogaria Venancio","Cristal"))</f>
        <v/>
      </c>
      <c r="F23" s="27">
        <f>IF(A23="","",IF(LEFT(UPPER(TRIM(A23)),1)="V","",TRIM(SUBSTITUTE(IFERROR(TRIM(TEXTBEFORE(A23,"—")),TRIM(A23)),"(Cristal)",""))))</f>
        <v/>
      </c>
      <c r="G23" s="27">
        <f>IF(A23="","",IFERROR(TRIM(TEXTBEFORE(TEXTAFTER(A23,"—"),"—")),""))</f>
        <v/>
      </c>
      <c r="H23" s="27">
        <f>IF(A23="","",IFERROR(TRIM(TEXTAFTER(A23,"—",2)),""))</f>
        <v/>
      </c>
    </row>
    <row r="24">
      <c r="A24" s="29" t="n"/>
      <c r="B24" s="39" t="n"/>
      <c r="C24" s="29" t="n"/>
      <c r="D24" s="29">
        <f>IF(A24="","",IF(LEFT(UPPER(TRIM(A24)),1)="V",IFERROR(TEXTBEFORE(TRIM(A24),"—"),TRIM(A24)),""))</f>
        <v/>
      </c>
      <c r="E24" s="29">
        <f>IF(A24="","",IF(LEFT(UPPER(TRIM(A24)),1)="V","Drogaria Venancio","Cristal"))</f>
        <v/>
      </c>
      <c r="F24" s="29">
        <f>IF(A24="","",IF(LEFT(UPPER(TRIM(A24)),1)="V","",TRIM(SUBSTITUTE(IFERROR(TRIM(TEXTBEFORE(A24,"—")),TRIM(A24)),"(Cristal)",""))))</f>
        <v/>
      </c>
      <c r="G24" s="29">
        <f>IF(A24="","",IFERROR(TRIM(TEXTBEFORE(TEXTAFTER(A24,"—"),"—")),""))</f>
        <v/>
      </c>
      <c r="H24" s="29">
        <f>IF(A24="","",IFERROR(TRIM(TEXTAFTER(A24,"—",2)),""))</f>
        <v/>
      </c>
    </row>
    <row r="25">
      <c r="A25" s="27" t="n"/>
      <c r="B25" s="38" t="n"/>
      <c r="C25" s="27" t="n"/>
      <c r="D25" s="27">
        <f>IF(A25="","",IF(LEFT(UPPER(TRIM(A25)),1)="V",IFERROR(TEXTBEFORE(TRIM(A25),"—"),TRIM(A25)),""))</f>
        <v/>
      </c>
      <c r="E25" s="27">
        <f>IF(A25="","",IF(LEFT(UPPER(TRIM(A25)),1)="V","Drogaria Venancio","Cristal"))</f>
        <v/>
      </c>
      <c r="F25" s="27">
        <f>IF(A25="","",IF(LEFT(UPPER(TRIM(A25)),1)="V","",TRIM(SUBSTITUTE(IFERROR(TRIM(TEXTBEFORE(A25,"—")),TRIM(A25)),"(Cristal)",""))))</f>
        <v/>
      </c>
      <c r="G25" s="27">
        <f>IF(A25="","",IFERROR(TRIM(TEXTBEFORE(TEXTAFTER(A25,"—"),"—")),""))</f>
        <v/>
      </c>
      <c r="H25" s="27">
        <f>IF(A25="","",IFERROR(TRIM(TEXTAFTER(A25,"—",2)),""))</f>
        <v/>
      </c>
    </row>
    <row r="26">
      <c r="A26" s="29" t="n"/>
      <c r="B26" s="39" t="n"/>
      <c r="C26" s="29" t="n"/>
      <c r="D26" s="29">
        <f>IF(A26="","",IF(LEFT(UPPER(TRIM(A26)),1)="V",IFERROR(TEXTBEFORE(TRIM(A26),"—"),TRIM(A26)),""))</f>
        <v/>
      </c>
      <c r="E26" s="29">
        <f>IF(A26="","",IF(LEFT(UPPER(TRIM(A26)),1)="V","Drogaria Venancio","Cristal"))</f>
        <v/>
      </c>
      <c r="F26" s="29">
        <f>IF(A26="","",IF(LEFT(UPPER(TRIM(A26)),1)="V","",TRIM(SUBSTITUTE(IFERROR(TRIM(TEXTBEFORE(A26,"—")),TRIM(A26)),"(Cristal)",""))))</f>
        <v/>
      </c>
      <c r="G26" s="29">
        <f>IF(A26="","",IFERROR(TRIM(TEXTBEFORE(TEXTAFTER(A26,"—"),"—")),""))</f>
        <v/>
      </c>
      <c r="H26" s="29">
        <f>IF(A26="","",IFERROR(TRIM(TEXTAFTER(A26,"—",2)),""))</f>
        <v/>
      </c>
    </row>
    <row r="27">
      <c r="A27" s="27" t="n"/>
      <c r="B27" s="38" t="n"/>
      <c r="C27" s="27" t="n"/>
      <c r="D27" s="27">
        <f>IF(A27="","",IF(LEFT(UPPER(TRIM(A27)),1)="V",IFERROR(TEXTBEFORE(TRIM(A27),"—"),TRIM(A27)),""))</f>
        <v/>
      </c>
      <c r="E27" s="27">
        <f>IF(A27="","",IF(LEFT(UPPER(TRIM(A27)),1)="V","Drogaria Venancio","Cristal"))</f>
        <v/>
      </c>
      <c r="F27" s="27">
        <f>IF(A27="","",IF(LEFT(UPPER(TRIM(A27)),1)="V","",TRIM(SUBSTITUTE(IFERROR(TRIM(TEXTBEFORE(A27,"—")),TRIM(A27)),"(Cristal)",""))))</f>
        <v/>
      </c>
      <c r="G27" s="27">
        <f>IF(A27="","",IFERROR(TRIM(TEXTBEFORE(TEXTAFTER(A27,"—"),"—")),""))</f>
        <v/>
      </c>
      <c r="H27" s="27">
        <f>IF(A27="","",IFERROR(TRIM(TEXTAFTER(A27,"—",2)),""))</f>
        <v/>
      </c>
    </row>
    <row r="28">
      <c r="A28" s="29" t="n"/>
      <c r="B28" s="39" t="n"/>
      <c r="C28" s="29" t="n"/>
      <c r="D28" s="29">
        <f>IF(A28="","",IF(LEFT(UPPER(TRIM(A28)),1)="V",IFERROR(TEXTBEFORE(TRIM(A28),"—"),TRIM(A28)),""))</f>
        <v/>
      </c>
      <c r="E28" s="29">
        <f>IF(A28="","",IF(LEFT(UPPER(TRIM(A28)),1)="V","Drogaria Venancio","Cristal"))</f>
        <v/>
      </c>
      <c r="F28" s="29">
        <f>IF(A28="","",IF(LEFT(UPPER(TRIM(A28)),1)="V","",TRIM(SUBSTITUTE(IFERROR(TRIM(TEXTBEFORE(A28,"—")),TRIM(A28)),"(Cristal)",""))))</f>
        <v/>
      </c>
      <c r="G28" s="29">
        <f>IF(A28="","",IFERROR(TRIM(TEXTBEFORE(TEXTAFTER(A28,"—"),"—")),""))</f>
        <v/>
      </c>
      <c r="H28" s="29">
        <f>IF(A28="","",IFERROR(TRIM(TEXTAFTER(A28,"—",2)),""))</f>
        <v/>
      </c>
    </row>
    <row r="29">
      <c r="A29" s="27" t="n"/>
      <c r="B29" s="38" t="n"/>
      <c r="C29" s="27" t="n"/>
      <c r="D29" s="27">
        <f>IF(A29="","",IF(LEFT(UPPER(TRIM(A29)),1)="V",IFERROR(TEXTBEFORE(TRIM(A29),"—"),TRIM(A29)),""))</f>
        <v/>
      </c>
      <c r="E29" s="27">
        <f>IF(A29="","",IF(LEFT(UPPER(TRIM(A29)),1)="V","Drogaria Venancio","Cristal"))</f>
        <v/>
      </c>
      <c r="F29" s="27">
        <f>IF(A29="","",IF(LEFT(UPPER(TRIM(A29)),1)="V","",TRIM(SUBSTITUTE(IFERROR(TRIM(TEXTBEFORE(A29,"—")),TRIM(A29)),"(Cristal)",""))))</f>
        <v/>
      </c>
      <c r="G29" s="27">
        <f>IF(A29="","",IFERROR(TRIM(TEXTBEFORE(TEXTAFTER(A29,"—"),"—")),""))</f>
        <v/>
      </c>
      <c r="H29" s="27">
        <f>IF(A29="","",IFERROR(TRIM(TEXTAFTER(A29,"—",2)),""))</f>
        <v/>
      </c>
    </row>
    <row r="30">
      <c r="A30" s="29" t="n"/>
      <c r="B30" s="39" t="n"/>
      <c r="C30" s="29" t="n"/>
      <c r="D30" s="29">
        <f>IF(A30="","",IF(LEFT(UPPER(TRIM(A30)),1)="V",IFERROR(TEXTBEFORE(TRIM(A30),"—"),TRIM(A30)),""))</f>
        <v/>
      </c>
      <c r="E30" s="29">
        <f>IF(A30="","",IF(LEFT(UPPER(TRIM(A30)),1)="V","Drogaria Venancio","Cristal"))</f>
        <v/>
      </c>
      <c r="F30" s="29">
        <f>IF(A30="","",IF(LEFT(UPPER(TRIM(A30)),1)="V","",TRIM(SUBSTITUTE(IFERROR(TRIM(TEXTBEFORE(A30,"—")),TRIM(A30)),"(Cristal)",""))))</f>
        <v/>
      </c>
      <c r="G30" s="29">
        <f>IF(A30="","",IFERROR(TRIM(TEXTBEFORE(TEXTAFTER(A30,"—"),"—")),""))</f>
        <v/>
      </c>
      <c r="H30" s="29">
        <f>IF(A30="","",IFERROR(TRIM(TEXTAFTER(A30,"—",2)),""))</f>
        <v/>
      </c>
    </row>
    <row r="31">
      <c r="A31" s="27" t="n"/>
      <c r="B31" s="38" t="n"/>
      <c r="C31" s="27" t="n"/>
      <c r="D31" s="27">
        <f>IF(A31="","",IF(LEFT(UPPER(TRIM(A31)),1)="V",IFERROR(TEXTBEFORE(TRIM(A31),"—"),TRIM(A31)),""))</f>
        <v/>
      </c>
      <c r="E31" s="27">
        <f>IF(A31="","",IF(LEFT(UPPER(TRIM(A31)),1)="V","Drogaria Venancio","Cristal"))</f>
        <v/>
      </c>
      <c r="F31" s="27">
        <f>IF(A31="","",IF(LEFT(UPPER(TRIM(A31)),1)="V","",TRIM(SUBSTITUTE(IFERROR(TRIM(TEXTBEFORE(A31,"—")),TRIM(A31)),"(Cristal)",""))))</f>
        <v/>
      </c>
      <c r="G31" s="27">
        <f>IF(A31="","",IFERROR(TRIM(TEXTBEFORE(TEXTAFTER(A31,"—"),"—")),""))</f>
        <v/>
      </c>
      <c r="H31" s="27">
        <f>IF(A31="","",IFERROR(TRIM(TEXTAFTER(A31,"—",2)),""))</f>
        <v/>
      </c>
    </row>
    <row r="32">
      <c r="A32" s="29" t="n"/>
      <c r="B32" s="39" t="n"/>
      <c r="C32" s="29" t="n"/>
      <c r="D32" s="29">
        <f>IF(A32="","",IF(LEFT(UPPER(TRIM(A32)),1)="V",IFERROR(TEXTBEFORE(TRIM(A32),"—"),TRIM(A32)),""))</f>
        <v/>
      </c>
      <c r="E32" s="29">
        <f>IF(A32="","",IF(LEFT(UPPER(TRIM(A32)),1)="V","Drogaria Venancio","Cristal"))</f>
        <v/>
      </c>
      <c r="F32" s="29">
        <f>IF(A32="","",IF(LEFT(UPPER(TRIM(A32)),1)="V","",TRIM(SUBSTITUTE(IFERROR(TRIM(TEXTBEFORE(A32,"—")),TRIM(A32)),"(Cristal)",""))))</f>
        <v/>
      </c>
      <c r="G32" s="29">
        <f>IF(A32="","",IFERROR(TRIM(TEXTBEFORE(TEXTAFTER(A32,"—"),"—")),""))</f>
        <v/>
      </c>
      <c r="H32" s="29">
        <f>IF(A32="","",IFERROR(TRIM(TEXTAFTER(A32,"—",2)),""))</f>
        <v/>
      </c>
    </row>
    <row r="33">
      <c r="A33" s="27" t="n"/>
      <c r="B33" s="38" t="n"/>
      <c r="C33" s="27" t="n"/>
      <c r="D33" s="27">
        <f>IF(A33="","",IF(LEFT(UPPER(TRIM(A33)),1)="V",IFERROR(TEXTBEFORE(TRIM(A33),"—"),TRIM(A33)),""))</f>
        <v/>
      </c>
      <c r="E33" s="27">
        <f>IF(A33="","",IF(LEFT(UPPER(TRIM(A33)),1)="V","Drogaria Venancio","Cristal"))</f>
        <v/>
      </c>
      <c r="F33" s="27">
        <f>IF(A33="","",IF(LEFT(UPPER(TRIM(A33)),1)="V","",TRIM(SUBSTITUTE(IFERROR(TRIM(TEXTBEFORE(A33,"—")),TRIM(A33)),"(Cristal)",""))))</f>
        <v/>
      </c>
      <c r="G33" s="27">
        <f>IF(A33="","",IFERROR(TRIM(TEXTBEFORE(TEXTAFTER(A33,"—"),"—")),""))</f>
        <v/>
      </c>
      <c r="H33" s="27">
        <f>IF(A33="","",IFERROR(TRIM(TEXTAFTER(A33,"—",2)),""))</f>
        <v/>
      </c>
    </row>
    <row r="34">
      <c r="A34" s="29" t="n"/>
      <c r="B34" s="39" t="n"/>
      <c r="C34" s="29" t="n"/>
      <c r="D34" s="29">
        <f>IF(A34="","",IF(LEFT(UPPER(TRIM(A34)),1)="V",IFERROR(TEXTBEFORE(TRIM(A34),"—"),TRIM(A34)),""))</f>
        <v/>
      </c>
      <c r="E34" s="29">
        <f>IF(A34="","",IF(LEFT(UPPER(TRIM(A34)),1)="V","Drogaria Venancio","Cristal"))</f>
        <v/>
      </c>
      <c r="F34" s="29">
        <f>IF(A34="","",IF(LEFT(UPPER(TRIM(A34)),1)="V","",TRIM(SUBSTITUTE(IFERROR(TRIM(TEXTBEFORE(A34,"—")),TRIM(A34)),"(Cristal)",""))))</f>
        <v/>
      </c>
      <c r="G34" s="29">
        <f>IF(A34="","",IFERROR(TRIM(TEXTBEFORE(TEXTAFTER(A34,"—"),"—")),""))</f>
        <v/>
      </c>
      <c r="H34" s="29">
        <f>IF(A34="","",IFERROR(TRIM(TEXTAFTER(A34,"—",2)),""))</f>
        <v/>
      </c>
    </row>
    <row r="35">
      <c r="A35" s="27" t="n"/>
      <c r="B35" s="38" t="n"/>
      <c r="C35" s="27" t="n"/>
      <c r="D35" s="27">
        <f>IF(A35="","",IF(LEFT(UPPER(TRIM(A35)),1)="V",IFERROR(TEXTBEFORE(TRIM(A35),"—"),TRIM(A35)),""))</f>
        <v/>
      </c>
      <c r="E35" s="27">
        <f>IF(A35="","",IF(LEFT(UPPER(TRIM(A35)),1)="V","Drogaria Venancio","Cristal"))</f>
        <v/>
      </c>
      <c r="F35" s="27">
        <f>IF(A35="","",IF(LEFT(UPPER(TRIM(A35)),1)="V","",TRIM(SUBSTITUTE(IFERROR(TRIM(TEXTBEFORE(A35,"—")),TRIM(A35)),"(Cristal)",""))))</f>
        <v/>
      </c>
      <c r="G35" s="27">
        <f>IF(A35="","",IFERROR(TRIM(TEXTBEFORE(TEXTAFTER(A35,"—"),"—")),""))</f>
        <v/>
      </c>
      <c r="H35" s="27">
        <f>IF(A35="","",IFERROR(TRIM(TEXTAFTER(A35,"—",2)),""))</f>
        <v/>
      </c>
    </row>
    <row r="36">
      <c r="A36" s="29" t="n"/>
      <c r="B36" s="39" t="n"/>
      <c r="C36" s="29" t="n"/>
      <c r="D36" s="29">
        <f>IF(A36="","",IF(LEFT(UPPER(TRIM(A36)),1)="V",IFERROR(TEXTBEFORE(TRIM(A36),"—"),TRIM(A36)),""))</f>
        <v/>
      </c>
      <c r="E36" s="29">
        <f>IF(A36="","",IF(LEFT(UPPER(TRIM(A36)),1)="V","Drogaria Venancio","Cristal"))</f>
        <v/>
      </c>
      <c r="F36" s="29">
        <f>IF(A36="","",IF(LEFT(UPPER(TRIM(A36)),1)="V","",TRIM(SUBSTITUTE(IFERROR(TRIM(TEXTBEFORE(A36,"—")),TRIM(A36)),"(Cristal)",""))))</f>
        <v/>
      </c>
      <c r="G36" s="29">
        <f>IF(A36="","",IFERROR(TRIM(TEXTBEFORE(TEXTAFTER(A36,"—"),"—")),""))</f>
        <v/>
      </c>
      <c r="H36" s="29">
        <f>IF(A36="","",IFERROR(TRIM(TEXTAFTER(A36,"—",2)),""))</f>
        <v/>
      </c>
    </row>
    <row r="37">
      <c r="A37" s="27" t="n"/>
      <c r="B37" s="38" t="n"/>
      <c r="C37" s="27" t="n"/>
      <c r="D37" s="27">
        <f>IF(A37="","",IF(LEFT(UPPER(TRIM(A37)),1)="V",IFERROR(TEXTBEFORE(TRIM(A37),"—"),TRIM(A37)),""))</f>
        <v/>
      </c>
      <c r="E37" s="27">
        <f>IF(A37="","",IF(LEFT(UPPER(TRIM(A37)),1)="V","Drogaria Venancio","Cristal"))</f>
        <v/>
      </c>
      <c r="F37" s="27">
        <f>IF(A37="","",IF(LEFT(UPPER(TRIM(A37)),1)="V","",TRIM(SUBSTITUTE(IFERROR(TRIM(TEXTBEFORE(A37,"—")),TRIM(A37)),"(Cristal)",""))))</f>
        <v/>
      </c>
      <c r="G37" s="27">
        <f>IF(A37="","",IFERROR(TRIM(TEXTBEFORE(TEXTAFTER(A37,"—"),"—")),""))</f>
        <v/>
      </c>
      <c r="H37" s="27">
        <f>IF(A37="","",IFERROR(TRIM(TEXTAFTER(A37,"—",2)),""))</f>
        <v/>
      </c>
    </row>
    <row r="38">
      <c r="A38" s="29" t="n"/>
      <c r="B38" s="39" t="n"/>
      <c r="C38" s="29" t="n"/>
      <c r="D38" s="29">
        <f>IF(A38="","",IF(LEFT(UPPER(TRIM(A38)),1)="V",IFERROR(TEXTBEFORE(TRIM(A38),"—"),TRIM(A38)),""))</f>
        <v/>
      </c>
      <c r="E38" s="29">
        <f>IF(A38="","",IF(LEFT(UPPER(TRIM(A38)),1)="V","Drogaria Venancio","Cristal"))</f>
        <v/>
      </c>
      <c r="F38" s="29">
        <f>IF(A38="","",IF(LEFT(UPPER(TRIM(A38)),1)="V","",TRIM(SUBSTITUTE(IFERROR(TRIM(TEXTBEFORE(A38,"—")),TRIM(A38)),"(Cristal)",""))))</f>
        <v/>
      </c>
      <c r="G38" s="29">
        <f>IF(A38="","",IFERROR(TRIM(TEXTBEFORE(TEXTAFTER(A38,"—"),"—")),""))</f>
        <v/>
      </c>
      <c r="H38" s="29">
        <f>IF(A38="","",IFERROR(TRIM(TEXTAFTER(A38,"—",2)),""))</f>
        <v/>
      </c>
    </row>
    <row r="39">
      <c r="A39" s="27" t="n"/>
      <c r="B39" s="38" t="n"/>
      <c r="C39" s="27" t="n"/>
      <c r="D39" s="27">
        <f>IF(A39="","",IF(LEFT(UPPER(TRIM(A39)),1)="V",IFERROR(TEXTBEFORE(TRIM(A39),"—"),TRIM(A39)),""))</f>
        <v/>
      </c>
      <c r="E39" s="27">
        <f>IF(A39="","",IF(LEFT(UPPER(TRIM(A39)),1)="V","Drogaria Venancio","Cristal"))</f>
        <v/>
      </c>
      <c r="F39" s="27">
        <f>IF(A39="","",IF(LEFT(UPPER(TRIM(A39)),1)="V","",TRIM(SUBSTITUTE(IFERROR(TRIM(TEXTBEFORE(A39,"—")),TRIM(A39)),"(Cristal)",""))))</f>
        <v/>
      </c>
      <c r="G39" s="27">
        <f>IF(A39="","",IFERROR(TRIM(TEXTBEFORE(TEXTAFTER(A39,"—"),"—")),""))</f>
        <v/>
      </c>
      <c r="H39" s="27">
        <f>IF(A39="","",IFERROR(TRIM(TEXTAFTER(A39,"—",2)),""))</f>
        <v/>
      </c>
    </row>
    <row r="40">
      <c r="A40" s="29" t="n"/>
      <c r="B40" s="39" t="n"/>
      <c r="C40" s="29" t="n"/>
      <c r="D40" s="29">
        <f>IF(A40="","",IF(LEFT(UPPER(TRIM(A40)),1)="V",IFERROR(TEXTBEFORE(TRIM(A40),"—"),TRIM(A40)),""))</f>
        <v/>
      </c>
      <c r="E40" s="29">
        <f>IF(A40="","",IF(LEFT(UPPER(TRIM(A40)),1)="V","Drogaria Venancio","Cristal"))</f>
        <v/>
      </c>
      <c r="F40" s="29">
        <f>IF(A40="","",IF(LEFT(UPPER(TRIM(A40)),1)="V","",TRIM(SUBSTITUTE(IFERROR(TRIM(TEXTBEFORE(A40,"—")),TRIM(A40)),"(Cristal)",""))))</f>
        <v/>
      </c>
      <c r="G40" s="29">
        <f>IF(A40="","",IFERROR(TRIM(TEXTBEFORE(TEXTAFTER(A40,"—"),"—")),""))</f>
        <v/>
      </c>
      <c r="H40" s="29">
        <f>IF(A40="","",IFERROR(TRIM(TEXTAFTER(A40,"—",2)),""))</f>
        <v/>
      </c>
    </row>
    <row r="41">
      <c r="A41" s="27" t="n"/>
      <c r="B41" s="38" t="n"/>
      <c r="C41" s="27" t="n"/>
      <c r="D41" s="27">
        <f>IF(A41="","",IF(LEFT(UPPER(TRIM(A41)),1)="V",IFERROR(TEXTBEFORE(TRIM(A41),"—"),TRIM(A41)),""))</f>
        <v/>
      </c>
      <c r="E41" s="27">
        <f>IF(A41="","",IF(LEFT(UPPER(TRIM(A41)),1)="V","Drogaria Venancio","Cristal"))</f>
        <v/>
      </c>
      <c r="F41" s="27">
        <f>IF(A41="","",IF(LEFT(UPPER(TRIM(A41)),1)="V","",TRIM(SUBSTITUTE(IFERROR(TRIM(TEXTBEFORE(A41,"—")),TRIM(A41)),"(Cristal)",""))))</f>
        <v/>
      </c>
      <c r="G41" s="27">
        <f>IF(A41="","",IFERROR(TRIM(TEXTBEFORE(TEXTAFTER(A41,"—"),"—")),""))</f>
        <v/>
      </c>
      <c r="H41" s="27">
        <f>IF(A41="","",IFERROR(TRIM(TEXTAFTER(A41,"—",2)),""))</f>
        <v/>
      </c>
    </row>
    <row r="42">
      <c r="A42" s="29" t="n"/>
      <c r="B42" s="39" t="n"/>
      <c r="C42" s="29" t="n"/>
      <c r="D42" s="29">
        <f>IF(A42="","",IF(LEFT(UPPER(TRIM(A42)),1)="V",IFERROR(TEXTBEFORE(TRIM(A42),"—"),TRIM(A42)),""))</f>
        <v/>
      </c>
      <c r="E42" s="29">
        <f>IF(A42="","",IF(LEFT(UPPER(TRIM(A42)),1)="V","Drogaria Venancio","Cristal"))</f>
        <v/>
      </c>
      <c r="F42" s="29">
        <f>IF(A42="","",IF(LEFT(UPPER(TRIM(A42)),1)="V","",TRIM(SUBSTITUTE(IFERROR(TRIM(TEXTBEFORE(A42,"—")),TRIM(A42)),"(Cristal)",""))))</f>
        <v/>
      </c>
      <c r="G42" s="29">
        <f>IF(A42="","",IFERROR(TRIM(TEXTBEFORE(TEXTAFTER(A42,"—"),"—")),""))</f>
        <v/>
      </c>
      <c r="H42" s="29">
        <f>IF(A42="","",IFERROR(TRIM(TEXTAFTER(A42,"—",2)),""))</f>
        <v/>
      </c>
    </row>
    <row r="43">
      <c r="A43" s="27" t="n"/>
      <c r="B43" s="38" t="n"/>
      <c r="C43" s="27" t="n"/>
      <c r="D43" s="27">
        <f>IF(A43="","",IF(LEFT(UPPER(TRIM(A43)),1)="V",IFERROR(TEXTBEFORE(TRIM(A43),"—"),TRIM(A43)),""))</f>
        <v/>
      </c>
      <c r="E43" s="27">
        <f>IF(A43="","",IF(LEFT(UPPER(TRIM(A43)),1)="V","Drogaria Venancio","Cristal"))</f>
        <v/>
      </c>
      <c r="F43" s="27">
        <f>IF(A43="","",IF(LEFT(UPPER(TRIM(A43)),1)="V","",TRIM(SUBSTITUTE(IFERROR(TRIM(TEXTBEFORE(A43,"—")),TRIM(A43)),"(Cristal)",""))))</f>
        <v/>
      </c>
      <c r="G43" s="27">
        <f>IF(A43="","",IFERROR(TRIM(TEXTBEFORE(TEXTAFTER(A43,"—"),"—")),""))</f>
        <v/>
      </c>
      <c r="H43" s="27">
        <f>IF(A43="","",IFERROR(TRIM(TEXTAFTER(A43,"—",2)),""))</f>
        <v/>
      </c>
    </row>
    <row r="44">
      <c r="A44" s="29" t="n"/>
      <c r="B44" s="39" t="n"/>
      <c r="C44" s="29" t="n"/>
      <c r="D44" s="29">
        <f>IF(A44="","",IF(LEFT(UPPER(TRIM(A44)),1)="V",IFERROR(TEXTBEFORE(TRIM(A44),"—"),TRIM(A44)),""))</f>
        <v/>
      </c>
      <c r="E44" s="29">
        <f>IF(A44="","",IF(LEFT(UPPER(TRIM(A44)),1)="V","Drogaria Venancio","Cristal"))</f>
        <v/>
      </c>
      <c r="F44" s="29">
        <f>IF(A44="","",IF(LEFT(UPPER(TRIM(A44)),1)="V","",TRIM(SUBSTITUTE(IFERROR(TRIM(TEXTBEFORE(A44,"—")),TRIM(A44)),"(Cristal)",""))))</f>
        <v/>
      </c>
      <c r="G44" s="29">
        <f>IF(A44="","",IFERROR(TRIM(TEXTBEFORE(TEXTAFTER(A44,"—"),"—")),""))</f>
        <v/>
      </c>
      <c r="H44" s="29">
        <f>IF(A44="","",IFERROR(TRIM(TEXTAFTER(A44,"—",2)),""))</f>
        <v/>
      </c>
    </row>
    <row r="45">
      <c r="A45" s="27" t="n"/>
      <c r="B45" s="38" t="n"/>
      <c r="C45" s="27" t="n"/>
      <c r="D45" s="27">
        <f>IF(A45="","",IF(LEFT(UPPER(TRIM(A45)),1)="V",IFERROR(TEXTBEFORE(TRIM(A45),"—"),TRIM(A45)),""))</f>
        <v/>
      </c>
      <c r="E45" s="27">
        <f>IF(A45="","",IF(LEFT(UPPER(TRIM(A45)),1)="V","Drogaria Venancio","Cristal"))</f>
        <v/>
      </c>
      <c r="F45" s="27">
        <f>IF(A45="","",IF(LEFT(UPPER(TRIM(A45)),1)="V","",TRIM(SUBSTITUTE(IFERROR(TRIM(TEXTBEFORE(A45,"—")),TRIM(A45)),"(Cristal)",""))))</f>
        <v/>
      </c>
      <c r="G45" s="27">
        <f>IF(A45="","",IFERROR(TRIM(TEXTBEFORE(TEXTAFTER(A45,"—"),"—")),""))</f>
        <v/>
      </c>
      <c r="H45" s="27">
        <f>IF(A45="","",IFERROR(TRIM(TEXTAFTER(A45,"—",2)),""))</f>
        <v/>
      </c>
    </row>
    <row r="46">
      <c r="A46" s="29" t="n"/>
      <c r="B46" s="39" t="n"/>
      <c r="C46" s="29" t="n"/>
      <c r="D46" s="29">
        <f>IF(A46="","",IF(LEFT(UPPER(TRIM(A46)),1)="V",IFERROR(TEXTBEFORE(TRIM(A46),"—"),TRIM(A46)),""))</f>
        <v/>
      </c>
      <c r="E46" s="29">
        <f>IF(A46="","",IF(LEFT(UPPER(TRIM(A46)),1)="V","Drogaria Venancio","Cristal"))</f>
        <v/>
      </c>
      <c r="F46" s="29">
        <f>IF(A46="","",IF(LEFT(UPPER(TRIM(A46)),1)="V","",TRIM(SUBSTITUTE(IFERROR(TRIM(TEXTBEFORE(A46,"—")),TRIM(A46)),"(Cristal)",""))))</f>
        <v/>
      </c>
      <c r="G46" s="29">
        <f>IF(A46="","",IFERROR(TRIM(TEXTBEFORE(TEXTAFTER(A46,"—"),"—")),""))</f>
        <v/>
      </c>
      <c r="H46" s="29">
        <f>IF(A46="","",IFERROR(TRIM(TEXTAFTER(A46,"—",2)),""))</f>
        <v/>
      </c>
    </row>
    <row r="47">
      <c r="A47" s="27" t="n"/>
      <c r="B47" s="38" t="n"/>
      <c r="C47" s="27" t="n"/>
      <c r="D47" s="27">
        <f>IF(A47="","",IF(LEFT(UPPER(TRIM(A47)),1)="V",IFERROR(TEXTBEFORE(TRIM(A47),"—"),TRIM(A47)),""))</f>
        <v/>
      </c>
      <c r="E47" s="27">
        <f>IF(A47="","",IF(LEFT(UPPER(TRIM(A47)),1)="V","Drogaria Venancio","Cristal"))</f>
        <v/>
      </c>
      <c r="F47" s="27">
        <f>IF(A47="","",IF(LEFT(UPPER(TRIM(A47)),1)="V","",TRIM(SUBSTITUTE(IFERROR(TRIM(TEXTBEFORE(A47,"—")),TRIM(A47)),"(Cristal)",""))))</f>
        <v/>
      </c>
      <c r="G47" s="27">
        <f>IF(A47="","",IFERROR(TRIM(TEXTBEFORE(TEXTAFTER(A47,"—"),"—")),""))</f>
        <v/>
      </c>
      <c r="H47" s="27">
        <f>IF(A47="","",IFERROR(TRIM(TEXTAFTER(A47,"—",2)),""))</f>
        <v/>
      </c>
    </row>
    <row r="48">
      <c r="A48" s="29" t="n"/>
      <c r="B48" s="39" t="n"/>
      <c r="C48" s="29" t="n"/>
      <c r="D48" s="29">
        <f>IF(A48="","",IF(LEFT(UPPER(TRIM(A48)),1)="V",IFERROR(TEXTBEFORE(TRIM(A48),"—"),TRIM(A48)),""))</f>
        <v/>
      </c>
      <c r="E48" s="29">
        <f>IF(A48="","",IF(LEFT(UPPER(TRIM(A48)),1)="V","Drogaria Venancio","Cristal"))</f>
        <v/>
      </c>
      <c r="F48" s="29">
        <f>IF(A48="","",IF(LEFT(UPPER(TRIM(A48)),1)="V","",TRIM(SUBSTITUTE(IFERROR(TRIM(TEXTBEFORE(A48,"—")),TRIM(A48)),"(Cristal)",""))))</f>
        <v/>
      </c>
      <c r="G48" s="29">
        <f>IF(A48="","",IFERROR(TRIM(TEXTBEFORE(TEXTAFTER(A48,"—"),"—")),""))</f>
        <v/>
      </c>
      <c r="H48" s="29">
        <f>IF(A48="","",IFERROR(TRIM(TEXTAFTER(A48,"—",2)),""))</f>
        <v/>
      </c>
    </row>
    <row r="49">
      <c r="A49" s="27" t="n"/>
      <c r="B49" s="38" t="n"/>
      <c r="C49" s="27" t="n"/>
      <c r="D49" s="27">
        <f>IF(A49="","",IF(LEFT(UPPER(TRIM(A49)),1)="V",IFERROR(TEXTBEFORE(TRIM(A49),"—"),TRIM(A49)),""))</f>
        <v/>
      </c>
      <c r="E49" s="27">
        <f>IF(A49="","",IF(LEFT(UPPER(TRIM(A49)),1)="V","Drogaria Venancio","Cristal"))</f>
        <v/>
      </c>
      <c r="F49" s="27">
        <f>IF(A49="","",IF(LEFT(UPPER(TRIM(A49)),1)="V","",TRIM(SUBSTITUTE(IFERROR(TRIM(TEXTBEFORE(A49,"—")),TRIM(A49)),"(Cristal)",""))))</f>
        <v/>
      </c>
      <c r="G49" s="27">
        <f>IF(A49="","",IFERROR(TRIM(TEXTBEFORE(TEXTAFTER(A49,"—"),"—")),""))</f>
        <v/>
      </c>
      <c r="H49" s="27">
        <f>IF(A49="","",IFERROR(TRIM(TEXTAFTER(A49,"—",2)),""))</f>
        <v/>
      </c>
    </row>
    <row r="50">
      <c r="A50" s="29" t="n"/>
      <c r="B50" s="39" t="n"/>
      <c r="C50" s="29" t="n"/>
      <c r="D50" s="29">
        <f>IF(A50="","",IF(LEFT(UPPER(TRIM(A50)),1)="V",IFERROR(TEXTBEFORE(TRIM(A50),"—"),TRIM(A50)),""))</f>
        <v/>
      </c>
      <c r="E50" s="29">
        <f>IF(A50="","",IF(LEFT(UPPER(TRIM(A50)),1)="V","Drogaria Venancio","Cristal"))</f>
        <v/>
      </c>
      <c r="F50" s="29">
        <f>IF(A50="","",IF(LEFT(UPPER(TRIM(A50)),1)="V","",TRIM(SUBSTITUTE(IFERROR(TRIM(TEXTBEFORE(A50,"—")),TRIM(A50)),"(Cristal)",""))))</f>
        <v/>
      </c>
      <c r="G50" s="29">
        <f>IF(A50="","",IFERROR(TRIM(TEXTBEFORE(TEXTAFTER(A50,"—"),"—")),""))</f>
        <v/>
      </c>
      <c r="H50" s="29">
        <f>IF(A50="","",IFERROR(TRIM(TEXTAFTER(A50,"—",2)),""))</f>
        <v/>
      </c>
    </row>
    <row r="51">
      <c r="A51" s="27" t="n"/>
      <c r="B51" s="38" t="n"/>
      <c r="C51" s="27" t="n"/>
      <c r="D51" s="27">
        <f>IF(A51="","",IF(LEFT(UPPER(TRIM(A51)),1)="V",IFERROR(TEXTBEFORE(TRIM(A51),"—"),TRIM(A51)),""))</f>
        <v/>
      </c>
      <c r="E51" s="27">
        <f>IF(A51="","",IF(LEFT(UPPER(TRIM(A51)),1)="V","Drogaria Venancio","Cristal"))</f>
        <v/>
      </c>
      <c r="F51" s="27">
        <f>IF(A51="","",IF(LEFT(UPPER(TRIM(A51)),1)="V","",TRIM(SUBSTITUTE(IFERROR(TRIM(TEXTBEFORE(A51,"—")),TRIM(A51)),"(Cristal)",""))))</f>
        <v/>
      </c>
      <c r="G51" s="27">
        <f>IF(A51="","",IFERROR(TRIM(TEXTBEFORE(TEXTAFTER(A51,"—"),"—")),""))</f>
        <v/>
      </c>
      <c r="H51" s="27">
        <f>IF(A51="","",IFERROR(TRIM(TEXTAFTER(A51,"—",2)),""))</f>
        <v/>
      </c>
    </row>
    <row r="52">
      <c r="A52" s="29" t="n"/>
      <c r="B52" s="39" t="n"/>
      <c r="C52" s="29" t="n"/>
      <c r="D52" s="29">
        <f>IF(A52="","",IF(LEFT(UPPER(TRIM(A52)),1)="V",IFERROR(TEXTBEFORE(TRIM(A52),"—"),TRIM(A52)),""))</f>
        <v/>
      </c>
      <c r="E52" s="29">
        <f>IF(A52="","",IF(LEFT(UPPER(TRIM(A52)),1)="V","Drogaria Venancio","Cristal"))</f>
        <v/>
      </c>
      <c r="F52" s="29">
        <f>IF(A52="","",IF(LEFT(UPPER(TRIM(A52)),1)="V","",TRIM(SUBSTITUTE(IFERROR(TRIM(TEXTBEFORE(A52,"—")),TRIM(A52)),"(Cristal)",""))))</f>
        <v/>
      </c>
      <c r="G52" s="29">
        <f>IF(A52="","",IFERROR(TRIM(TEXTBEFORE(TEXTAFTER(A52,"—"),"—")),""))</f>
        <v/>
      </c>
      <c r="H52" s="29">
        <f>IF(A52="","",IFERROR(TRIM(TEXTAFTER(A52,"—",2)),""))</f>
        <v/>
      </c>
    </row>
    <row r="53">
      <c r="A53" s="27" t="n"/>
      <c r="B53" s="38" t="n"/>
      <c r="C53" s="27" t="n"/>
      <c r="D53" s="27">
        <f>IF(A53="","",IF(LEFT(UPPER(TRIM(A53)),1)="V",IFERROR(TEXTBEFORE(TRIM(A53),"—"),TRIM(A53)),""))</f>
        <v/>
      </c>
      <c r="E53" s="27">
        <f>IF(A53="","",IF(LEFT(UPPER(TRIM(A53)),1)="V","Drogaria Venancio","Cristal"))</f>
        <v/>
      </c>
      <c r="F53" s="27">
        <f>IF(A53="","",IF(LEFT(UPPER(TRIM(A53)),1)="V","",TRIM(SUBSTITUTE(IFERROR(TRIM(TEXTBEFORE(A53,"—")),TRIM(A53)),"(Cristal)",""))))</f>
        <v/>
      </c>
      <c r="G53" s="27">
        <f>IF(A53="","",IFERROR(TRIM(TEXTBEFORE(TEXTAFTER(A53,"—"),"—")),""))</f>
        <v/>
      </c>
      <c r="H53" s="27">
        <f>IF(A53="","",IFERROR(TRIM(TEXTAFTER(A53,"—",2)),""))</f>
        <v/>
      </c>
    </row>
    <row r="54">
      <c r="A54" s="29" t="n"/>
      <c r="B54" s="39" t="n"/>
      <c r="C54" s="29" t="n"/>
      <c r="D54" s="29">
        <f>IF(A54="","",IF(LEFT(UPPER(TRIM(A54)),1)="V",IFERROR(TEXTBEFORE(TRIM(A54),"—"),TRIM(A54)),""))</f>
        <v/>
      </c>
      <c r="E54" s="29">
        <f>IF(A54="","",IF(LEFT(UPPER(TRIM(A54)),1)="V","Drogaria Venancio","Cristal"))</f>
        <v/>
      </c>
      <c r="F54" s="29">
        <f>IF(A54="","",IF(LEFT(UPPER(TRIM(A54)),1)="V","",TRIM(SUBSTITUTE(IFERROR(TRIM(TEXTBEFORE(A54,"—")),TRIM(A54)),"(Cristal)",""))))</f>
        <v/>
      </c>
      <c r="G54" s="29">
        <f>IF(A54="","",IFERROR(TRIM(TEXTBEFORE(TEXTAFTER(A54,"—"),"—")),""))</f>
        <v/>
      </c>
      <c r="H54" s="29">
        <f>IF(A54="","",IFERROR(TRIM(TEXTAFTER(A54,"—",2)),""))</f>
        <v/>
      </c>
    </row>
    <row r="55">
      <c r="A55" s="27" t="n"/>
      <c r="B55" s="38" t="n"/>
      <c r="C55" s="27" t="n"/>
      <c r="D55" s="27">
        <f>IF(A55="","",IF(LEFT(UPPER(TRIM(A55)),1)="V",IFERROR(TEXTBEFORE(TRIM(A55),"—"),TRIM(A55)),""))</f>
        <v/>
      </c>
      <c r="E55" s="27">
        <f>IF(A55="","",IF(LEFT(UPPER(TRIM(A55)),1)="V","Drogaria Venancio","Cristal"))</f>
        <v/>
      </c>
      <c r="F55" s="27">
        <f>IF(A55="","",IF(LEFT(UPPER(TRIM(A55)),1)="V","",TRIM(SUBSTITUTE(IFERROR(TRIM(TEXTBEFORE(A55,"—")),TRIM(A55)),"(Cristal)",""))))</f>
        <v/>
      </c>
      <c r="G55" s="27">
        <f>IF(A55="","",IFERROR(TRIM(TEXTBEFORE(TEXTAFTER(A55,"—"),"—")),""))</f>
        <v/>
      </c>
      <c r="H55" s="27">
        <f>IF(A55="","",IFERROR(TRIM(TEXTAFTER(A55,"—",2)),""))</f>
        <v/>
      </c>
    </row>
    <row r="56">
      <c r="A56" s="29" t="n"/>
      <c r="B56" s="39" t="n"/>
      <c r="C56" s="29" t="n"/>
      <c r="D56" s="29">
        <f>IF(A56="","",IF(LEFT(UPPER(TRIM(A56)),1)="V",IFERROR(TEXTBEFORE(TRIM(A56),"—"),TRIM(A56)),""))</f>
        <v/>
      </c>
      <c r="E56" s="29">
        <f>IF(A56="","",IF(LEFT(UPPER(TRIM(A56)),1)="V","Drogaria Venancio","Cristal"))</f>
        <v/>
      </c>
      <c r="F56" s="29">
        <f>IF(A56="","",IF(LEFT(UPPER(TRIM(A56)),1)="V","",TRIM(SUBSTITUTE(IFERROR(TRIM(TEXTBEFORE(A56,"—")),TRIM(A56)),"(Cristal)",""))))</f>
        <v/>
      </c>
      <c r="G56" s="29">
        <f>IF(A56="","",IFERROR(TRIM(TEXTBEFORE(TEXTAFTER(A56,"—"),"—")),""))</f>
        <v/>
      </c>
      <c r="H56" s="29">
        <f>IF(A56="","",IFERROR(TRIM(TEXTAFTER(A56,"—",2)),""))</f>
        <v/>
      </c>
    </row>
    <row r="57">
      <c r="A57" s="27" t="n"/>
      <c r="B57" s="38" t="n"/>
      <c r="C57" s="27" t="n"/>
      <c r="D57" s="27">
        <f>IF(A57="","",IF(LEFT(UPPER(TRIM(A57)),1)="V",IFERROR(TEXTBEFORE(TRIM(A57),"—"),TRIM(A57)),""))</f>
        <v/>
      </c>
      <c r="E57" s="27">
        <f>IF(A57="","",IF(LEFT(UPPER(TRIM(A57)),1)="V","Drogaria Venancio","Cristal"))</f>
        <v/>
      </c>
      <c r="F57" s="27">
        <f>IF(A57="","",IF(LEFT(UPPER(TRIM(A57)),1)="V","",TRIM(SUBSTITUTE(IFERROR(TRIM(TEXTBEFORE(A57,"—")),TRIM(A57)),"(Cristal)",""))))</f>
        <v/>
      </c>
      <c r="G57" s="27">
        <f>IF(A57="","",IFERROR(TRIM(TEXTBEFORE(TEXTAFTER(A57,"—"),"—")),""))</f>
        <v/>
      </c>
      <c r="H57" s="27">
        <f>IF(A57="","",IFERROR(TRIM(TEXTAFTER(A57,"—",2)),""))</f>
        <v/>
      </c>
    </row>
    <row r="58">
      <c r="A58" s="29" t="n"/>
      <c r="B58" s="39" t="n"/>
      <c r="C58" s="29" t="n"/>
      <c r="D58" s="29">
        <f>IF(A58="","",IF(LEFT(UPPER(TRIM(A58)),1)="V",IFERROR(TEXTBEFORE(TRIM(A58),"—"),TRIM(A58)),""))</f>
        <v/>
      </c>
      <c r="E58" s="29">
        <f>IF(A58="","",IF(LEFT(UPPER(TRIM(A58)),1)="V","Drogaria Venancio","Cristal"))</f>
        <v/>
      </c>
      <c r="F58" s="29">
        <f>IF(A58="","",IF(LEFT(UPPER(TRIM(A58)),1)="V","",TRIM(SUBSTITUTE(IFERROR(TRIM(TEXTBEFORE(A58,"—")),TRIM(A58)),"(Cristal)",""))))</f>
        <v/>
      </c>
      <c r="G58" s="29">
        <f>IF(A58="","",IFERROR(TRIM(TEXTBEFORE(TEXTAFTER(A58,"—"),"—")),""))</f>
        <v/>
      </c>
      <c r="H58" s="29">
        <f>IF(A58="","",IFERROR(TRIM(TEXTAFTER(A58,"—",2)),""))</f>
        <v/>
      </c>
    </row>
    <row r="59">
      <c r="A59" s="27" t="n"/>
      <c r="B59" s="38" t="n"/>
      <c r="C59" s="27" t="n"/>
      <c r="D59" s="27">
        <f>IF(A59="","",IF(LEFT(UPPER(TRIM(A59)),1)="V",IFERROR(TEXTBEFORE(TRIM(A59),"—"),TRIM(A59)),""))</f>
        <v/>
      </c>
      <c r="E59" s="27">
        <f>IF(A59="","",IF(LEFT(UPPER(TRIM(A59)),1)="V","Drogaria Venancio","Cristal"))</f>
        <v/>
      </c>
      <c r="F59" s="27">
        <f>IF(A59="","",IF(LEFT(UPPER(TRIM(A59)),1)="V","",TRIM(SUBSTITUTE(IFERROR(TRIM(TEXTBEFORE(A59,"—")),TRIM(A59)),"(Cristal)",""))))</f>
        <v/>
      </c>
      <c r="G59" s="27">
        <f>IF(A59="","",IFERROR(TRIM(TEXTBEFORE(TEXTAFTER(A59,"—"),"—")),""))</f>
        <v/>
      </c>
      <c r="H59" s="27">
        <f>IF(A59="","",IFERROR(TRIM(TEXTAFTER(A59,"—",2)),""))</f>
        <v/>
      </c>
    </row>
    <row r="60">
      <c r="A60" s="29" t="n"/>
      <c r="B60" s="39" t="n"/>
      <c r="C60" s="29" t="n"/>
      <c r="D60" s="29">
        <f>IF(A60="","",IF(LEFT(UPPER(TRIM(A60)),1)="V",IFERROR(TEXTBEFORE(TRIM(A60),"—"),TRIM(A60)),""))</f>
        <v/>
      </c>
      <c r="E60" s="29">
        <f>IF(A60="","",IF(LEFT(UPPER(TRIM(A60)),1)="V","Drogaria Venancio","Cristal"))</f>
        <v/>
      </c>
      <c r="F60" s="29">
        <f>IF(A60="","",IF(LEFT(UPPER(TRIM(A60)),1)="V","",TRIM(SUBSTITUTE(IFERROR(TRIM(TEXTBEFORE(A60,"—")),TRIM(A60)),"(Cristal)",""))))</f>
        <v/>
      </c>
      <c r="G60" s="29">
        <f>IF(A60="","",IFERROR(TRIM(TEXTBEFORE(TEXTAFTER(A60,"—"),"—")),""))</f>
        <v/>
      </c>
      <c r="H60" s="29">
        <f>IF(A60="","",IFERROR(TRIM(TEXTAFTER(A60,"—",2)),""))</f>
        <v/>
      </c>
    </row>
    <row r="61">
      <c r="A61" s="27" t="n"/>
      <c r="B61" s="38" t="n"/>
      <c r="C61" s="27" t="n"/>
      <c r="D61" s="27">
        <f>IF(A61="","",IF(LEFT(UPPER(TRIM(A61)),1)="V",IFERROR(TEXTBEFORE(TRIM(A61),"—"),TRIM(A61)),""))</f>
        <v/>
      </c>
      <c r="E61" s="27">
        <f>IF(A61="","",IF(LEFT(UPPER(TRIM(A61)),1)="V","Drogaria Venancio","Cristal"))</f>
        <v/>
      </c>
      <c r="F61" s="27">
        <f>IF(A61="","",IF(LEFT(UPPER(TRIM(A61)),1)="V","",TRIM(SUBSTITUTE(IFERROR(TRIM(TEXTBEFORE(A61,"—")),TRIM(A61)),"(Cristal)",""))))</f>
        <v/>
      </c>
      <c r="G61" s="27">
        <f>IF(A61="","",IFERROR(TRIM(TEXTBEFORE(TEXTAFTER(A61,"—"),"—")),""))</f>
        <v/>
      </c>
      <c r="H61" s="27">
        <f>IF(A61="","",IFERROR(TRIM(TEXTAFTER(A61,"—",2)),""))</f>
        <v/>
      </c>
    </row>
    <row r="62">
      <c r="A62" s="29" t="n"/>
      <c r="B62" s="39" t="n"/>
      <c r="C62" s="29" t="n"/>
      <c r="D62" s="29">
        <f>IF(A62="","",IF(LEFT(UPPER(TRIM(A62)),1)="V",IFERROR(TEXTBEFORE(TRIM(A62),"—"),TRIM(A62)),""))</f>
        <v/>
      </c>
      <c r="E62" s="29">
        <f>IF(A62="","",IF(LEFT(UPPER(TRIM(A62)),1)="V","Drogaria Venancio","Cristal"))</f>
        <v/>
      </c>
      <c r="F62" s="29">
        <f>IF(A62="","",IF(LEFT(UPPER(TRIM(A62)),1)="V","",TRIM(SUBSTITUTE(IFERROR(TRIM(TEXTBEFORE(A62,"—")),TRIM(A62)),"(Cristal)",""))))</f>
        <v/>
      </c>
      <c r="G62" s="29">
        <f>IF(A62="","",IFERROR(TRIM(TEXTBEFORE(TEXTAFTER(A62,"—"),"—")),""))</f>
        <v/>
      </c>
      <c r="H62" s="29">
        <f>IF(A62="","",IFERROR(TRIM(TEXTAFTER(A62,"—",2)),""))</f>
        <v/>
      </c>
    </row>
    <row r="63">
      <c r="A63" s="27" t="n"/>
      <c r="B63" s="38" t="n"/>
      <c r="C63" s="27" t="n"/>
      <c r="D63" s="27">
        <f>IF(A63="","",IF(LEFT(UPPER(TRIM(A63)),1)="V",IFERROR(TEXTBEFORE(TRIM(A63),"—"),TRIM(A63)),""))</f>
        <v/>
      </c>
      <c r="E63" s="27">
        <f>IF(A63="","",IF(LEFT(UPPER(TRIM(A63)),1)="V","Drogaria Venancio","Cristal"))</f>
        <v/>
      </c>
      <c r="F63" s="27">
        <f>IF(A63="","",IF(LEFT(UPPER(TRIM(A63)),1)="V","",TRIM(SUBSTITUTE(IFERROR(TRIM(TEXTBEFORE(A63,"—")),TRIM(A63)),"(Cristal)",""))))</f>
        <v/>
      </c>
      <c r="G63" s="27">
        <f>IF(A63="","",IFERROR(TRIM(TEXTBEFORE(TEXTAFTER(A63,"—"),"—")),""))</f>
        <v/>
      </c>
      <c r="H63" s="27">
        <f>IF(A63="","",IFERROR(TRIM(TEXTAFTER(A63,"—",2)),""))</f>
        <v/>
      </c>
    </row>
    <row r="64">
      <c r="A64" s="29" t="n"/>
      <c r="B64" s="39" t="n"/>
      <c r="C64" s="29" t="n"/>
      <c r="D64" s="29">
        <f>IF(A64="","",IF(LEFT(UPPER(TRIM(A64)),1)="V",IFERROR(TEXTBEFORE(TRIM(A64),"—"),TRIM(A64)),""))</f>
        <v/>
      </c>
      <c r="E64" s="29">
        <f>IF(A64="","",IF(LEFT(UPPER(TRIM(A64)),1)="V","Drogaria Venancio","Cristal"))</f>
        <v/>
      </c>
      <c r="F64" s="29">
        <f>IF(A64="","",IF(LEFT(UPPER(TRIM(A64)),1)="V","",TRIM(SUBSTITUTE(IFERROR(TRIM(TEXTBEFORE(A64,"—")),TRIM(A64)),"(Cristal)",""))))</f>
        <v/>
      </c>
      <c r="G64" s="29">
        <f>IF(A64="","",IFERROR(TRIM(TEXTBEFORE(TEXTAFTER(A64,"—"),"—")),""))</f>
        <v/>
      </c>
      <c r="H64" s="29">
        <f>IF(A64="","",IFERROR(TRIM(TEXTAFTER(A64,"—",2)),""))</f>
        <v/>
      </c>
    </row>
    <row r="65">
      <c r="A65" s="27" t="n"/>
      <c r="B65" s="38" t="n"/>
      <c r="C65" s="27" t="n"/>
      <c r="D65" s="27">
        <f>IF(A65="","",IF(LEFT(UPPER(TRIM(A65)),1)="V",IFERROR(TEXTBEFORE(TRIM(A65),"—"),TRIM(A65)),""))</f>
        <v/>
      </c>
      <c r="E65" s="27">
        <f>IF(A65="","",IF(LEFT(UPPER(TRIM(A65)),1)="V","Drogaria Venancio","Cristal"))</f>
        <v/>
      </c>
      <c r="F65" s="27">
        <f>IF(A65="","",IF(LEFT(UPPER(TRIM(A65)),1)="V","",TRIM(SUBSTITUTE(IFERROR(TRIM(TEXTBEFORE(A65,"—")),TRIM(A65)),"(Cristal)",""))))</f>
        <v/>
      </c>
      <c r="G65" s="27">
        <f>IF(A65="","",IFERROR(TRIM(TEXTBEFORE(TEXTAFTER(A65,"—"),"—")),""))</f>
        <v/>
      </c>
      <c r="H65" s="27">
        <f>IF(A65="","",IFERROR(TRIM(TEXTAFTER(A65,"—",2)),""))</f>
        <v/>
      </c>
    </row>
    <row r="66">
      <c r="A66" s="29" t="n"/>
      <c r="B66" s="39" t="n"/>
      <c r="C66" s="29" t="n"/>
      <c r="D66" s="29">
        <f>IF(A66="","",IF(LEFT(UPPER(TRIM(A66)),1)="V",IFERROR(TEXTBEFORE(TRIM(A66),"—"),TRIM(A66)),""))</f>
        <v/>
      </c>
      <c r="E66" s="29">
        <f>IF(A66="","",IF(LEFT(UPPER(TRIM(A66)),1)="V","Drogaria Venancio","Cristal"))</f>
        <v/>
      </c>
      <c r="F66" s="29">
        <f>IF(A66="","",IF(LEFT(UPPER(TRIM(A66)),1)="V","",TRIM(SUBSTITUTE(IFERROR(TRIM(TEXTBEFORE(A66,"—")),TRIM(A66)),"(Cristal)",""))))</f>
        <v/>
      </c>
      <c r="G66" s="29">
        <f>IF(A66="","",IFERROR(TRIM(TEXTBEFORE(TEXTAFTER(A66,"—"),"—")),""))</f>
        <v/>
      </c>
      <c r="H66" s="29">
        <f>IF(A66="","",IFERROR(TRIM(TEXTAFTER(A66,"—",2)),""))</f>
        <v/>
      </c>
    </row>
    <row r="67">
      <c r="A67" s="27" t="n"/>
      <c r="B67" s="38" t="n"/>
      <c r="C67" s="27" t="n"/>
      <c r="D67" s="27">
        <f>IF(A67="","",IF(LEFT(UPPER(TRIM(A67)),1)="V",IFERROR(TEXTBEFORE(TRIM(A67),"—"),TRIM(A67)),""))</f>
        <v/>
      </c>
      <c r="E67" s="27">
        <f>IF(A67="","",IF(LEFT(UPPER(TRIM(A67)),1)="V","Drogaria Venancio","Cristal"))</f>
        <v/>
      </c>
      <c r="F67" s="27">
        <f>IF(A67="","",IF(LEFT(UPPER(TRIM(A67)),1)="V","",TRIM(SUBSTITUTE(IFERROR(TRIM(TEXTBEFORE(A67,"—")),TRIM(A67)),"(Cristal)",""))))</f>
        <v/>
      </c>
      <c r="G67" s="27">
        <f>IF(A67="","",IFERROR(TRIM(TEXTBEFORE(TEXTAFTER(A67,"—"),"—")),""))</f>
        <v/>
      </c>
      <c r="H67" s="27">
        <f>IF(A67="","",IFERROR(TRIM(TEXTAFTER(A67,"—",2)),""))</f>
        <v/>
      </c>
    </row>
    <row r="68">
      <c r="A68" s="29" t="n"/>
      <c r="B68" s="39" t="n"/>
      <c r="C68" s="29" t="n"/>
      <c r="D68" s="29">
        <f>IF(A68="","",IF(LEFT(UPPER(TRIM(A68)),1)="V",IFERROR(TEXTBEFORE(TRIM(A68),"—"),TRIM(A68)),""))</f>
        <v/>
      </c>
      <c r="E68" s="29">
        <f>IF(A68="","",IF(LEFT(UPPER(TRIM(A68)),1)="V","Drogaria Venancio","Cristal"))</f>
        <v/>
      </c>
      <c r="F68" s="29">
        <f>IF(A68="","",IF(LEFT(UPPER(TRIM(A68)),1)="V","",TRIM(SUBSTITUTE(IFERROR(TRIM(TEXTBEFORE(A68,"—")),TRIM(A68)),"(Cristal)",""))))</f>
        <v/>
      </c>
      <c r="G68" s="29">
        <f>IF(A68="","",IFERROR(TRIM(TEXTBEFORE(TEXTAFTER(A68,"—"),"—")),""))</f>
        <v/>
      </c>
      <c r="H68" s="29">
        <f>IF(A68="","",IFERROR(TRIM(TEXTAFTER(A68,"—",2)),""))</f>
        <v/>
      </c>
    </row>
    <row r="69">
      <c r="A69" s="27" t="n"/>
      <c r="B69" s="38" t="n"/>
      <c r="C69" s="27" t="n"/>
      <c r="D69" s="27">
        <f>IF(A69="","",IF(LEFT(UPPER(TRIM(A69)),1)="V",IFERROR(TEXTBEFORE(TRIM(A69),"—"),TRIM(A69)),""))</f>
        <v/>
      </c>
      <c r="E69" s="27">
        <f>IF(A69="","",IF(LEFT(UPPER(TRIM(A69)),1)="V","Drogaria Venancio","Cristal"))</f>
        <v/>
      </c>
      <c r="F69" s="27">
        <f>IF(A69="","",IF(LEFT(UPPER(TRIM(A69)),1)="V","",TRIM(SUBSTITUTE(IFERROR(TRIM(TEXTBEFORE(A69,"—")),TRIM(A69)),"(Cristal)",""))))</f>
        <v/>
      </c>
      <c r="G69" s="27">
        <f>IF(A69="","",IFERROR(TRIM(TEXTBEFORE(TEXTAFTER(A69,"—"),"—")),""))</f>
        <v/>
      </c>
      <c r="H69" s="27">
        <f>IF(A69="","",IFERROR(TRIM(TEXTAFTER(A69,"—",2)),""))</f>
        <v/>
      </c>
    </row>
    <row r="70">
      <c r="A70" s="29" t="n"/>
      <c r="B70" s="39" t="n"/>
      <c r="C70" s="29" t="n"/>
      <c r="D70" s="29">
        <f>IF(A70="","",IF(LEFT(UPPER(TRIM(A70)),1)="V",IFERROR(TEXTBEFORE(TRIM(A70),"—"),TRIM(A70)),""))</f>
        <v/>
      </c>
      <c r="E70" s="29">
        <f>IF(A70="","",IF(LEFT(UPPER(TRIM(A70)),1)="V","Drogaria Venancio","Cristal"))</f>
        <v/>
      </c>
      <c r="F70" s="29">
        <f>IF(A70="","",IF(LEFT(UPPER(TRIM(A70)),1)="V","",TRIM(SUBSTITUTE(IFERROR(TRIM(TEXTBEFORE(A70,"—")),TRIM(A70)),"(Cristal)",""))))</f>
        <v/>
      </c>
      <c r="G70" s="29">
        <f>IF(A70="","",IFERROR(TRIM(TEXTBEFORE(TEXTAFTER(A70,"—"),"—")),""))</f>
        <v/>
      </c>
      <c r="H70" s="29">
        <f>IF(A70="","",IFERROR(TRIM(TEXTAFTER(A70,"—",2)),""))</f>
        <v/>
      </c>
    </row>
    <row r="71">
      <c r="A71" s="27" t="n"/>
      <c r="B71" s="38" t="n"/>
      <c r="C71" s="27" t="n"/>
      <c r="D71" s="27">
        <f>IF(A71="","",IF(LEFT(UPPER(TRIM(A71)),1)="V",IFERROR(TEXTBEFORE(TRIM(A71),"—"),TRIM(A71)),""))</f>
        <v/>
      </c>
      <c r="E71" s="27">
        <f>IF(A71="","",IF(LEFT(UPPER(TRIM(A71)),1)="V","Drogaria Venancio","Cristal"))</f>
        <v/>
      </c>
      <c r="F71" s="27">
        <f>IF(A71="","",IF(LEFT(UPPER(TRIM(A71)),1)="V","",TRIM(SUBSTITUTE(IFERROR(TRIM(TEXTBEFORE(A71,"—")),TRIM(A71)),"(Cristal)",""))))</f>
        <v/>
      </c>
      <c r="G71" s="27">
        <f>IF(A71="","",IFERROR(TRIM(TEXTBEFORE(TEXTAFTER(A71,"—"),"—")),""))</f>
        <v/>
      </c>
      <c r="H71" s="27">
        <f>IF(A71="","",IFERROR(TRIM(TEXTAFTER(A71,"—",2)),""))</f>
        <v/>
      </c>
    </row>
    <row r="72">
      <c r="A72" s="29" t="n"/>
      <c r="B72" s="39" t="n"/>
      <c r="C72" s="29" t="n"/>
      <c r="D72" s="29">
        <f>IF(A72="","",IF(LEFT(UPPER(TRIM(A72)),1)="V",IFERROR(TEXTBEFORE(TRIM(A72),"—"),TRIM(A72)),""))</f>
        <v/>
      </c>
      <c r="E72" s="29">
        <f>IF(A72="","",IF(LEFT(UPPER(TRIM(A72)),1)="V","Drogaria Venancio","Cristal"))</f>
        <v/>
      </c>
      <c r="F72" s="29">
        <f>IF(A72="","",IF(LEFT(UPPER(TRIM(A72)),1)="V","",TRIM(SUBSTITUTE(IFERROR(TRIM(TEXTBEFORE(A72,"—")),TRIM(A72)),"(Cristal)",""))))</f>
        <v/>
      </c>
      <c r="G72" s="29">
        <f>IF(A72="","",IFERROR(TRIM(TEXTBEFORE(TEXTAFTER(A72,"—"),"—")),""))</f>
        <v/>
      </c>
      <c r="H72" s="29">
        <f>IF(A72="","",IFERROR(TRIM(TEXTAFTER(A72,"—",2)),""))</f>
        <v/>
      </c>
    </row>
    <row r="73">
      <c r="A73" s="27" t="n"/>
      <c r="B73" s="38" t="n"/>
      <c r="C73" s="27" t="n"/>
      <c r="D73" s="27">
        <f>IF(A73="","",IF(LEFT(UPPER(TRIM(A73)),1)="V",IFERROR(TEXTBEFORE(TRIM(A73),"—"),TRIM(A73)),""))</f>
        <v/>
      </c>
      <c r="E73" s="27">
        <f>IF(A73="","",IF(LEFT(UPPER(TRIM(A73)),1)="V","Drogaria Venancio","Cristal"))</f>
        <v/>
      </c>
      <c r="F73" s="27">
        <f>IF(A73="","",IF(LEFT(UPPER(TRIM(A73)),1)="V","",TRIM(SUBSTITUTE(IFERROR(TRIM(TEXTBEFORE(A73,"—")),TRIM(A73)),"(Cristal)",""))))</f>
        <v/>
      </c>
      <c r="G73" s="27">
        <f>IF(A73="","",IFERROR(TRIM(TEXTBEFORE(TEXTAFTER(A73,"—"),"—")),""))</f>
        <v/>
      </c>
      <c r="H73" s="27">
        <f>IF(A73="","",IFERROR(TRIM(TEXTAFTER(A73,"—",2)),""))</f>
        <v/>
      </c>
    </row>
    <row r="74">
      <c r="A74" s="29" t="n"/>
      <c r="B74" s="39" t="n"/>
      <c r="C74" s="29" t="n"/>
      <c r="D74" s="29">
        <f>IF(A74="","",IF(LEFT(UPPER(TRIM(A74)),1)="V",IFERROR(TEXTBEFORE(TRIM(A74),"—"),TRIM(A74)),""))</f>
        <v/>
      </c>
      <c r="E74" s="29">
        <f>IF(A74="","",IF(LEFT(UPPER(TRIM(A74)),1)="V","Drogaria Venancio","Cristal"))</f>
        <v/>
      </c>
      <c r="F74" s="29">
        <f>IF(A74="","",IF(LEFT(UPPER(TRIM(A74)),1)="V","",TRIM(SUBSTITUTE(IFERROR(TRIM(TEXTBEFORE(A74,"—")),TRIM(A74)),"(Cristal)",""))))</f>
        <v/>
      </c>
      <c r="G74" s="29">
        <f>IF(A74="","",IFERROR(TRIM(TEXTBEFORE(TEXTAFTER(A74,"—"),"—")),""))</f>
        <v/>
      </c>
      <c r="H74" s="29">
        <f>IF(A74="","",IFERROR(TRIM(TEXTAFTER(A74,"—",2)),""))</f>
        <v/>
      </c>
    </row>
    <row r="75">
      <c r="A75" s="27" t="n"/>
      <c r="B75" s="38" t="n"/>
      <c r="C75" s="27" t="n"/>
      <c r="D75" s="27">
        <f>IF(A75="","",IF(LEFT(UPPER(TRIM(A75)),1)="V",IFERROR(TEXTBEFORE(TRIM(A75),"—"),TRIM(A75)),""))</f>
        <v/>
      </c>
      <c r="E75" s="27">
        <f>IF(A75="","",IF(LEFT(UPPER(TRIM(A75)),1)="V","Drogaria Venancio","Cristal"))</f>
        <v/>
      </c>
      <c r="F75" s="27">
        <f>IF(A75="","",IF(LEFT(UPPER(TRIM(A75)),1)="V","",TRIM(SUBSTITUTE(IFERROR(TRIM(TEXTBEFORE(A75,"—")),TRIM(A75)),"(Cristal)",""))))</f>
        <v/>
      </c>
      <c r="G75" s="27">
        <f>IF(A75="","",IFERROR(TRIM(TEXTBEFORE(TEXTAFTER(A75,"—"),"—")),""))</f>
        <v/>
      </c>
      <c r="H75" s="27">
        <f>IF(A75="","",IFERROR(TRIM(TEXTAFTER(A75,"—",2)),""))</f>
        <v/>
      </c>
    </row>
    <row r="76">
      <c r="A76" s="29" t="n"/>
      <c r="B76" s="39" t="n"/>
      <c r="C76" s="29" t="n"/>
      <c r="D76" s="29">
        <f>IF(A76="","",IF(LEFT(UPPER(TRIM(A76)),1)="V",IFERROR(TEXTBEFORE(TRIM(A76),"—"),TRIM(A76)),""))</f>
        <v/>
      </c>
      <c r="E76" s="29">
        <f>IF(A76="","",IF(LEFT(UPPER(TRIM(A76)),1)="V","Drogaria Venancio","Cristal"))</f>
        <v/>
      </c>
      <c r="F76" s="29">
        <f>IF(A76="","",IF(LEFT(UPPER(TRIM(A76)),1)="V","",TRIM(SUBSTITUTE(IFERROR(TRIM(TEXTBEFORE(A76,"—")),TRIM(A76)),"(Cristal)",""))))</f>
        <v/>
      </c>
      <c r="G76" s="29">
        <f>IF(A76="","",IFERROR(TRIM(TEXTBEFORE(TEXTAFTER(A76,"—"),"—")),""))</f>
        <v/>
      </c>
      <c r="H76" s="29">
        <f>IF(A76="","",IFERROR(TRIM(TEXTAFTER(A76,"—",2)),""))</f>
        <v/>
      </c>
    </row>
    <row r="77">
      <c r="A77" s="27" t="n"/>
      <c r="B77" s="38" t="n"/>
      <c r="C77" s="27" t="n"/>
      <c r="D77" s="27">
        <f>IF(A77="","",IF(LEFT(UPPER(TRIM(A77)),1)="V",IFERROR(TEXTBEFORE(TRIM(A77),"—"),TRIM(A77)),""))</f>
        <v/>
      </c>
      <c r="E77" s="27">
        <f>IF(A77="","",IF(LEFT(UPPER(TRIM(A77)),1)="V","Drogaria Venancio","Cristal"))</f>
        <v/>
      </c>
      <c r="F77" s="27">
        <f>IF(A77="","",IF(LEFT(UPPER(TRIM(A77)),1)="V","",TRIM(SUBSTITUTE(IFERROR(TRIM(TEXTBEFORE(A77,"—")),TRIM(A77)),"(Cristal)",""))))</f>
        <v/>
      </c>
      <c r="G77" s="27">
        <f>IF(A77="","",IFERROR(TRIM(TEXTBEFORE(TEXTAFTER(A77,"—"),"—")),""))</f>
        <v/>
      </c>
      <c r="H77" s="27">
        <f>IF(A77="","",IFERROR(TRIM(TEXTAFTER(A77,"—",2)),""))</f>
        <v/>
      </c>
    </row>
    <row r="78">
      <c r="A78" s="29" t="n"/>
      <c r="B78" s="39" t="n"/>
      <c r="C78" s="29" t="n"/>
      <c r="D78" s="29">
        <f>IF(A78="","",IF(LEFT(UPPER(TRIM(A78)),1)="V",IFERROR(TEXTBEFORE(TRIM(A78),"—"),TRIM(A78)),""))</f>
        <v/>
      </c>
      <c r="E78" s="29">
        <f>IF(A78="","",IF(LEFT(UPPER(TRIM(A78)),1)="V","Drogaria Venancio","Cristal"))</f>
        <v/>
      </c>
      <c r="F78" s="29">
        <f>IF(A78="","",IF(LEFT(UPPER(TRIM(A78)),1)="V","",TRIM(SUBSTITUTE(IFERROR(TRIM(TEXTBEFORE(A78,"—")),TRIM(A78)),"(Cristal)",""))))</f>
        <v/>
      </c>
      <c r="G78" s="29">
        <f>IF(A78="","",IFERROR(TRIM(TEXTBEFORE(TEXTAFTER(A78,"—"),"—")),""))</f>
        <v/>
      </c>
      <c r="H78" s="29">
        <f>IF(A78="","",IFERROR(TRIM(TEXTAFTER(A78,"—",2)),""))</f>
        <v/>
      </c>
    </row>
    <row r="79">
      <c r="A79" s="27" t="n"/>
      <c r="B79" s="38" t="n"/>
      <c r="C79" s="27" t="n"/>
      <c r="D79" s="27">
        <f>IF(A79="","",IF(LEFT(UPPER(TRIM(A79)),1)="V",IFERROR(TEXTBEFORE(TRIM(A79),"—"),TRIM(A79)),""))</f>
        <v/>
      </c>
      <c r="E79" s="27">
        <f>IF(A79="","",IF(LEFT(UPPER(TRIM(A79)),1)="V","Drogaria Venancio","Cristal"))</f>
        <v/>
      </c>
      <c r="F79" s="27">
        <f>IF(A79="","",IF(LEFT(UPPER(TRIM(A79)),1)="V","",TRIM(SUBSTITUTE(IFERROR(TRIM(TEXTBEFORE(A79,"—")),TRIM(A79)),"(Cristal)",""))))</f>
        <v/>
      </c>
      <c r="G79" s="27">
        <f>IF(A79="","",IFERROR(TRIM(TEXTBEFORE(TEXTAFTER(A79,"—"),"—")),""))</f>
        <v/>
      </c>
      <c r="H79" s="27">
        <f>IF(A79="","",IFERROR(TRIM(TEXTAFTER(A79,"—",2)),""))</f>
        <v/>
      </c>
    </row>
    <row r="80">
      <c r="A80" s="29" t="n"/>
      <c r="B80" s="39" t="n"/>
      <c r="C80" s="29" t="n"/>
      <c r="D80" s="29">
        <f>IF(A80="","",IF(LEFT(UPPER(TRIM(A80)),1)="V",IFERROR(TEXTBEFORE(TRIM(A80),"—"),TRIM(A80)),""))</f>
        <v/>
      </c>
      <c r="E80" s="29">
        <f>IF(A80="","",IF(LEFT(UPPER(TRIM(A80)),1)="V","Drogaria Venancio","Cristal"))</f>
        <v/>
      </c>
      <c r="F80" s="29">
        <f>IF(A80="","",IF(LEFT(UPPER(TRIM(A80)),1)="V","",TRIM(SUBSTITUTE(IFERROR(TRIM(TEXTBEFORE(A80,"—")),TRIM(A80)),"(Cristal)",""))))</f>
        <v/>
      </c>
      <c r="G80" s="29">
        <f>IF(A80="","",IFERROR(TRIM(TEXTBEFORE(TEXTAFTER(A80,"—"),"—")),""))</f>
        <v/>
      </c>
      <c r="H80" s="29">
        <f>IF(A80="","",IFERROR(TRIM(TEXTAFTER(A80,"—",2)),""))</f>
        <v/>
      </c>
    </row>
    <row r="81">
      <c r="A81" s="27" t="n"/>
      <c r="B81" s="38" t="n"/>
      <c r="C81" s="27" t="n"/>
      <c r="D81" s="27">
        <f>IF(A81="","",IF(LEFT(UPPER(TRIM(A81)),1)="V",IFERROR(TEXTBEFORE(TRIM(A81),"—"),TRIM(A81)),""))</f>
        <v/>
      </c>
      <c r="E81" s="27">
        <f>IF(A81="","",IF(LEFT(UPPER(TRIM(A81)),1)="V","Drogaria Venancio","Cristal"))</f>
        <v/>
      </c>
      <c r="F81" s="27">
        <f>IF(A81="","",IF(LEFT(UPPER(TRIM(A81)),1)="V","",TRIM(SUBSTITUTE(IFERROR(TRIM(TEXTBEFORE(A81,"—")),TRIM(A81)),"(Cristal)",""))))</f>
        <v/>
      </c>
      <c r="G81" s="27">
        <f>IF(A81="","",IFERROR(TRIM(TEXTBEFORE(TEXTAFTER(A81,"—"),"—")),""))</f>
        <v/>
      </c>
      <c r="H81" s="27">
        <f>IF(A81="","",IFERROR(TRIM(TEXTAFTER(A81,"—",2)),""))</f>
        <v/>
      </c>
    </row>
    <row r="82">
      <c r="A82" s="29" t="n"/>
      <c r="B82" s="39" t="n"/>
      <c r="C82" s="29" t="n"/>
      <c r="D82" s="29">
        <f>IF(A82="","",IF(LEFT(UPPER(TRIM(A82)),1)="V",IFERROR(TEXTBEFORE(TRIM(A82),"—"),TRIM(A82)),""))</f>
        <v/>
      </c>
      <c r="E82" s="29">
        <f>IF(A82="","",IF(LEFT(UPPER(TRIM(A82)),1)="V","Drogaria Venancio","Cristal"))</f>
        <v/>
      </c>
      <c r="F82" s="29">
        <f>IF(A82="","",IF(LEFT(UPPER(TRIM(A82)),1)="V","",TRIM(SUBSTITUTE(IFERROR(TRIM(TEXTBEFORE(A82,"—")),TRIM(A82)),"(Cristal)",""))))</f>
        <v/>
      </c>
      <c r="G82" s="29">
        <f>IF(A82="","",IFERROR(TRIM(TEXTBEFORE(TEXTAFTER(A82,"—"),"—")),""))</f>
        <v/>
      </c>
      <c r="H82" s="29">
        <f>IF(A82="","",IFERROR(TRIM(TEXTAFTER(A82,"—",2)),""))</f>
        <v/>
      </c>
    </row>
    <row r="83">
      <c r="A83" s="27" t="n"/>
      <c r="B83" s="38" t="n"/>
      <c r="C83" s="27" t="n"/>
      <c r="D83" s="27">
        <f>IF(A83="","",IF(LEFT(UPPER(TRIM(A83)),1)="V",IFERROR(TEXTBEFORE(TRIM(A83),"—"),TRIM(A83)),""))</f>
        <v/>
      </c>
      <c r="E83" s="27">
        <f>IF(A83="","",IF(LEFT(UPPER(TRIM(A83)),1)="V","Drogaria Venancio","Cristal"))</f>
        <v/>
      </c>
      <c r="F83" s="27">
        <f>IF(A83="","",IF(LEFT(UPPER(TRIM(A83)),1)="V","",TRIM(SUBSTITUTE(IFERROR(TRIM(TEXTBEFORE(A83,"—")),TRIM(A83)),"(Cristal)",""))))</f>
        <v/>
      </c>
      <c r="G83" s="27">
        <f>IF(A83="","",IFERROR(TRIM(TEXTBEFORE(TEXTAFTER(A83,"—"),"—")),""))</f>
        <v/>
      </c>
      <c r="H83" s="27">
        <f>IF(A83="","",IFERROR(TRIM(TEXTAFTER(A83,"—",2)),""))</f>
        <v/>
      </c>
    </row>
    <row r="84">
      <c r="A84" s="29" t="n"/>
      <c r="B84" s="39" t="n"/>
      <c r="C84" s="29" t="n"/>
      <c r="D84" s="29">
        <f>IF(A84="","",IF(LEFT(UPPER(TRIM(A84)),1)="V",IFERROR(TEXTBEFORE(TRIM(A84),"—"),TRIM(A84)),""))</f>
        <v/>
      </c>
      <c r="E84" s="29">
        <f>IF(A84="","",IF(LEFT(UPPER(TRIM(A84)),1)="V","Drogaria Venancio","Cristal"))</f>
        <v/>
      </c>
      <c r="F84" s="29">
        <f>IF(A84="","",IF(LEFT(UPPER(TRIM(A84)),1)="V","",TRIM(SUBSTITUTE(IFERROR(TRIM(TEXTBEFORE(A84,"—")),TRIM(A84)),"(Cristal)",""))))</f>
        <v/>
      </c>
      <c r="G84" s="29">
        <f>IF(A84="","",IFERROR(TRIM(TEXTBEFORE(TEXTAFTER(A84,"—"),"—")),""))</f>
        <v/>
      </c>
      <c r="H84" s="29">
        <f>IF(A84="","",IFERROR(TRIM(TEXTAFTER(A84,"—",2)),""))</f>
        <v/>
      </c>
    </row>
    <row r="85">
      <c r="A85" s="27" t="n"/>
      <c r="B85" s="38" t="n"/>
      <c r="C85" s="27" t="n"/>
      <c r="D85" s="27">
        <f>IF(A85="","",IF(LEFT(UPPER(TRIM(A85)),1)="V",IFERROR(TEXTBEFORE(TRIM(A85),"—"),TRIM(A85)),""))</f>
        <v/>
      </c>
      <c r="E85" s="27">
        <f>IF(A85="","",IF(LEFT(UPPER(TRIM(A85)),1)="V","Drogaria Venancio","Cristal"))</f>
        <v/>
      </c>
      <c r="F85" s="27">
        <f>IF(A85="","",IF(LEFT(UPPER(TRIM(A85)),1)="V","",TRIM(SUBSTITUTE(IFERROR(TRIM(TEXTBEFORE(A85,"—")),TRIM(A85)),"(Cristal)",""))))</f>
        <v/>
      </c>
      <c r="G85" s="27">
        <f>IF(A85="","",IFERROR(TRIM(TEXTBEFORE(TEXTAFTER(A85,"—"),"—")),""))</f>
        <v/>
      </c>
      <c r="H85" s="27">
        <f>IF(A85="","",IFERROR(TRIM(TEXTAFTER(A85,"—",2)),""))</f>
        <v/>
      </c>
    </row>
    <row r="86">
      <c r="A86" s="29" t="n"/>
      <c r="B86" s="39" t="n"/>
      <c r="C86" s="29" t="n"/>
      <c r="D86" s="29">
        <f>IF(A86="","",IF(LEFT(UPPER(TRIM(A86)),1)="V",IFERROR(TEXTBEFORE(TRIM(A86),"—"),TRIM(A86)),""))</f>
        <v/>
      </c>
      <c r="E86" s="29">
        <f>IF(A86="","",IF(LEFT(UPPER(TRIM(A86)),1)="V","Drogaria Venancio","Cristal"))</f>
        <v/>
      </c>
      <c r="F86" s="29">
        <f>IF(A86="","",IF(LEFT(UPPER(TRIM(A86)),1)="V","",TRIM(SUBSTITUTE(IFERROR(TRIM(TEXTBEFORE(A86,"—")),TRIM(A86)),"(Cristal)",""))))</f>
        <v/>
      </c>
      <c r="G86" s="29">
        <f>IF(A86="","",IFERROR(TRIM(TEXTBEFORE(TEXTAFTER(A86,"—"),"—")),""))</f>
        <v/>
      </c>
      <c r="H86" s="29">
        <f>IF(A86="","",IFERROR(TRIM(TEXTAFTER(A86,"—",2)),""))</f>
        <v/>
      </c>
    </row>
    <row r="87">
      <c r="A87" s="27" t="n"/>
      <c r="B87" s="38" t="n"/>
      <c r="C87" s="27" t="n"/>
      <c r="D87" s="27">
        <f>IF(A87="","",IF(LEFT(UPPER(TRIM(A87)),1)="V",IFERROR(TEXTBEFORE(TRIM(A87),"—"),TRIM(A87)),""))</f>
        <v/>
      </c>
      <c r="E87" s="27">
        <f>IF(A87="","",IF(LEFT(UPPER(TRIM(A87)),1)="V","Drogaria Venancio","Cristal"))</f>
        <v/>
      </c>
      <c r="F87" s="27">
        <f>IF(A87="","",IF(LEFT(UPPER(TRIM(A87)),1)="V","",TRIM(SUBSTITUTE(IFERROR(TRIM(TEXTBEFORE(A87,"—")),TRIM(A87)),"(Cristal)",""))))</f>
        <v/>
      </c>
      <c r="G87" s="27">
        <f>IF(A87="","",IFERROR(TRIM(TEXTBEFORE(TEXTAFTER(A87,"—"),"—")),""))</f>
        <v/>
      </c>
      <c r="H87" s="27">
        <f>IF(A87="","",IFERROR(TRIM(TEXTAFTER(A87,"—",2)),""))</f>
        <v/>
      </c>
    </row>
    <row r="88">
      <c r="A88" s="29" t="n"/>
      <c r="B88" s="39" t="n"/>
      <c r="C88" s="29" t="n"/>
      <c r="D88" s="29">
        <f>IF(A88="","",IF(LEFT(UPPER(TRIM(A88)),1)="V",IFERROR(TEXTBEFORE(TRIM(A88),"—"),TRIM(A88)),""))</f>
        <v/>
      </c>
      <c r="E88" s="29">
        <f>IF(A88="","",IF(LEFT(UPPER(TRIM(A88)),1)="V","Drogaria Venancio","Cristal"))</f>
        <v/>
      </c>
      <c r="F88" s="29">
        <f>IF(A88="","",IF(LEFT(UPPER(TRIM(A88)),1)="V","",TRIM(SUBSTITUTE(IFERROR(TRIM(TEXTBEFORE(A88,"—")),TRIM(A88)),"(Cristal)",""))))</f>
        <v/>
      </c>
      <c r="G88" s="29">
        <f>IF(A88="","",IFERROR(TRIM(TEXTBEFORE(TEXTAFTER(A88,"—"),"—")),""))</f>
        <v/>
      </c>
      <c r="H88" s="29">
        <f>IF(A88="","",IFERROR(TRIM(TEXTAFTER(A88,"—",2)),""))</f>
        <v/>
      </c>
    </row>
    <row r="89">
      <c r="A89" s="27" t="n"/>
      <c r="B89" s="38" t="n"/>
      <c r="C89" s="27" t="n"/>
      <c r="D89" s="27">
        <f>IF(A89="","",IF(LEFT(UPPER(TRIM(A89)),1)="V",IFERROR(TEXTBEFORE(TRIM(A89),"—"),TRIM(A89)),""))</f>
        <v/>
      </c>
      <c r="E89" s="27">
        <f>IF(A89="","",IF(LEFT(UPPER(TRIM(A89)),1)="V","Drogaria Venancio","Cristal"))</f>
        <v/>
      </c>
      <c r="F89" s="27">
        <f>IF(A89="","",IF(LEFT(UPPER(TRIM(A89)),1)="V","",TRIM(SUBSTITUTE(IFERROR(TRIM(TEXTBEFORE(A89,"—")),TRIM(A89)),"(Cristal)",""))))</f>
        <v/>
      </c>
      <c r="G89" s="27">
        <f>IF(A89="","",IFERROR(TRIM(TEXTBEFORE(TEXTAFTER(A89,"—"),"—")),""))</f>
        <v/>
      </c>
      <c r="H89" s="27">
        <f>IF(A89="","",IFERROR(TRIM(TEXTAFTER(A89,"—",2)),""))</f>
        <v/>
      </c>
    </row>
    <row r="90">
      <c r="A90" s="29" t="n"/>
      <c r="B90" s="39" t="n"/>
      <c r="C90" s="29" t="n"/>
      <c r="D90" s="29">
        <f>IF(A90="","",IF(LEFT(UPPER(TRIM(A90)),1)="V",IFERROR(TEXTBEFORE(TRIM(A90),"—"),TRIM(A90)),""))</f>
        <v/>
      </c>
      <c r="E90" s="29">
        <f>IF(A90="","",IF(LEFT(UPPER(TRIM(A90)),1)="V","Drogaria Venancio","Cristal"))</f>
        <v/>
      </c>
      <c r="F90" s="29">
        <f>IF(A90="","",IF(LEFT(UPPER(TRIM(A90)),1)="V","",TRIM(SUBSTITUTE(IFERROR(TRIM(TEXTBEFORE(A90,"—")),TRIM(A90)),"(Cristal)",""))))</f>
        <v/>
      </c>
      <c r="G90" s="29">
        <f>IF(A90="","",IFERROR(TRIM(TEXTBEFORE(TEXTAFTER(A90,"—"),"—")),""))</f>
        <v/>
      </c>
      <c r="H90" s="29">
        <f>IF(A90="","",IFERROR(TRIM(TEXTAFTER(A90,"—",2)),""))</f>
        <v/>
      </c>
    </row>
    <row r="91">
      <c r="A91" s="27" t="n"/>
      <c r="B91" s="38" t="n"/>
      <c r="C91" s="27" t="n"/>
      <c r="D91" s="27">
        <f>IF(A91="","",IF(LEFT(UPPER(TRIM(A91)),1)="V",IFERROR(TEXTBEFORE(TRIM(A91),"—"),TRIM(A91)),""))</f>
        <v/>
      </c>
      <c r="E91" s="27">
        <f>IF(A91="","",IF(LEFT(UPPER(TRIM(A91)),1)="V","Drogaria Venancio","Cristal"))</f>
        <v/>
      </c>
      <c r="F91" s="27">
        <f>IF(A91="","",IF(LEFT(UPPER(TRIM(A91)),1)="V","",TRIM(SUBSTITUTE(IFERROR(TRIM(TEXTBEFORE(A91,"—")),TRIM(A91)),"(Cristal)",""))))</f>
        <v/>
      </c>
      <c r="G91" s="27">
        <f>IF(A91="","",IFERROR(TRIM(TEXTBEFORE(TEXTAFTER(A91,"—"),"—")),""))</f>
        <v/>
      </c>
      <c r="H91" s="27">
        <f>IF(A91="","",IFERROR(TRIM(TEXTAFTER(A91,"—",2)),""))</f>
        <v/>
      </c>
    </row>
    <row r="92">
      <c r="A92" s="29" t="n"/>
      <c r="B92" s="39" t="n"/>
      <c r="C92" s="29" t="n"/>
      <c r="D92" s="29">
        <f>IF(A92="","",IF(LEFT(UPPER(TRIM(A92)),1)="V",IFERROR(TEXTBEFORE(TRIM(A92),"—"),TRIM(A92)),""))</f>
        <v/>
      </c>
      <c r="E92" s="29">
        <f>IF(A92="","",IF(LEFT(UPPER(TRIM(A92)),1)="V","Drogaria Venancio","Cristal"))</f>
        <v/>
      </c>
      <c r="F92" s="29">
        <f>IF(A92="","",IF(LEFT(UPPER(TRIM(A92)),1)="V","",TRIM(SUBSTITUTE(IFERROR(TRIM(TEXTBEFORE(A92,"—")),TRIM(A92)),"(Cristal)",""))))</f>
        <v/>
      </c>
      <c r="G92" s="29">
        <f>IF(A92="","",IFERROR(TRIM(TEXTBEFORE(TEXTAFTER(A92,"—"),"—")),""))</f>
        <v/>
      </c>
      <c r="H92" s="29">
        <f>IF(A92="","",IFERROR(TRIM(TEXTAFTER(A92,"—",2)),""))</f>
        <v/>
      </c>
    </row>
    <row r="93">
      <c r="A93" s="27" t="n"/>
      <c r="B93" s="38" t="n"/>
      <c r="C93" s="27" t="n"/>
      <c r="D93" s="27">
        <f>IF(A93="","",IF(LEFT(UPPER(TRIM(A93)),1)="V",IFERROR(TEXTBEFORE(TRIM(A93),"—"),TRIM(A93)),""))</f>
        <v/>
      </c>
      <c r="E93" s="27">
        <f>IF(A93="","",IF(LEFT(UPPER(TRIM(A93)),1)="V","Drogaria Venancio","Cristal"))</f>
        <v/>
      </c>
      <c r="F93" s="27">
        <f>IF(A93="","",IF(LEFT(UPPER(TRIM(A93)),1)="V","",TRIM(SUBSTITUTE(IFERROR(TRIM(TEXTBEFORE(A93,"—")),TRIM(A93)),"(Cristal)",""))))</f>
        <v/>
      </c>
      <c r="G93" s="27">
        <f>IF(A93="","",IFERROR(TRIM(TEXTBEFORE(TEXTAFTER(A93,"—"),"—")),""))</f>
        <v/>
      </c>
      <c r="H93" s="27">
        <f>IF(A93="","",IFERROR(TRIM(TEXTAFTER(A93,"—",2)),""))</f>
        <v/>
      </c>
    </row>
    <row r="94">
      <c r="A94" s="29" t="n"/>
      <c r="B94" s="39" t="n"/>
      <c r="C94" s="29" t="n"/>
      <c r="D94" s="29">
        <f>IF(A94="","",IF(LEFT(UPPER(TRIM(A94)),1)="V",IFERROR(TEXTBEFORE(TRIM(A94),"—"),TRIM(A94)),""))</f>
        <v/>
      </c>
      <c r="E94" s="29">
        <f>IF(A94="","",IF(LEFT(UPPER(TRIM(A94)),1)="V","Drogaria Venancio","Cristal"))</f>
        <v/>
      </c>
      <c r="F94" s="29">
        <f>IF(A94="","",IF(LEFT(UPPER(TRIM(A94)),1)="V","",TRIM(SUBSTITUTE(IFERROR(TRIM(TEXTBEFORE(A94,"—")),TRIM(A94)),"(Cristal)",""))))</f>
        <v/>
      </c>
      <c r="G94" s="29">
        <f>IF(A94="","",IFERROR(TRIM(TEXTBEFORE(TEXTAFTER(A94,"—"),"—")),""))</f>
        <v/>
      </c>
      <c r="H94" s="29">
        <f>IF(A94="","",IFERROR(TRIM(TEXTAFTER(A94,"—",2)),""))</f>
        <v/>
      </c>
    </row>
    <row r="95">
      <c r="A95" s="27" t="n"/>
      <c r="B95" s="38" t="n"/>
      <c r="C95" s="27" t="n"/>
      <c r="D95" s="27">
        <f>IF(A95="","",IF(LEFT(UPPER(TRIM(A95)),1)="V",IFERROR(TEXTBEFORE(TRIM(A95),"—"),TRIM(A95)),""))</f>
        <v/>
      </c>
      <c r="E95" s="27">
        <f>IF(A95="","",IF(LEFT(UPPER(TRIM(A95)),1)="V","Drogaria Venancio","Cristal"))</f>
        <v/>
      </c>
      <c r="F95" s="27">
        <f>IF(A95="","",IF(LEFT(UPPER(TRIM(A95)),1)="V","",TRIM(SUBSTITUTE(IFERROR(TRIM(TEXTBEFORE(A95,"—")),TRIM(A95)),"(Cristal)",""))))</f>
        <v/>
      </c>
      <c r="G95" s="27">
        <f>IF(A95="","",IFERROR(TRIM(TEXTBEFORE(TEXTAFTER(A95,"—"),"—")),""))</f>
        <v/>
      </c>
      <c r="H95" s="27">
        <f>IF(A95="","",IFERROR(TRIM(TEXTAFTER(A95,"—",2)),""))</f>
        <v/>
      </c>
    </row>
    <row r="96">
      <c r="A96" s="29" t="n"/>
      <c r="B96" s="39" t="n"/>
      <c r="C96" s="29" t="n"/>
      <c r="D96" s="29">
        <f>IF(A96="","",IF(LEFT(UPPER(TRIM(A96)),1)="V",IFERROR(TEXTBEFORE(TRIM(A96),"—"),TRIM(A96)),""))</f>
        <v/>
      </c>
      <c r="E96" s="29">
        <f>IF(A96="","",IF(LEFT(UPPER(TRIM(A96)),1)="V","Drogaria Venancio","Cristal"))</f>
        <v/>
      </c>
      <c r="F96" s="29">
        <f>IF(A96="","",IF(LEFT(UPPER(TRIM(A96)),1)="V","",TRIM(SUBSTITUTE(IFERROR(TRIM(TEXTBEFORE(A96,"—")),TRIM(A96)),"(Cristal)",""))))</f>
        <v/>
      </c>
      <c r="G96" s="29">
        <f>IF(A96="","",IFERROR(TRIM(TEXTBEFORE(TEXTAFTER(A96,"—"),"—")),""))</f>
        <v/>
      </c>
      <c r="H96" s="29">
        <f>IF(A96="","",IFERROR(TRIM(TEXTAFTER(A96,"—",2)),""))</f>
        <v/>
      </c>
    </row>
    <row r="97">
      <c r="A97" s="27" t="n"/>
      <c r="B97" s="38" t="n"/>
      <c r="C97" s="27" t="n"/>
      <c r="D97" s="27">
        <f>IF(A97="","",IF(LEFT(UPPER(TRIM(A97)),1)="V",IFERROR(TEXTBEFORE(TRIM(A97),"—"),TRIM(A97)),""))</f>
        <v/>
      </c>
      <c r="E97" s="27">
        <f>IF(A97="","",IF(LEFT(UPPER(TRIM(A97)),1)="V","Drogaria Venancio","Cristal"))</f>
        <v/>
      </c>
      <c r="F97" s="27">
        <f>IF(A97="","",IF(LEFT(UPPER(TRIM(A97)),1)="V","",TRIM(SUBSTITUTE(IFERROR(TRIM(TEXTBEFORE(A97,"—")),TRIM(A97)),"(Cristal)",""))))</f>
        <v/>
      </c>
      <c r="G97" s="27">
        <f>IF(A97="","",IFERROR(TRIM(TEXTBEFORE(TEXTAFTER(A97,"—"),"—")),""))</f>
        <v/>
      </c>
      <c r="H97" s="27">
        <f>IF(A97="","",IFERROR(TRIM(TEXTAFTER(A97,"—",2)),""))</f>
        <v/>
      </c>
    </row>
    <row r="98">
      <c r="A98" s="29" t="n"/>
      <c r="B98" s="39" t="n"/>
      <c r="C98" s="29" t="n"/>
      <c r="D98" s="29">
        <f>IF(A98="","",IF(LEFT(UPPER(TRIM(A98)),1)="V",IFERROR(TEXTBEFORE(TRIM(A98),"—"),TRIM(A98)),""))</f>
        <v/>
      </c>
      <c r="E98" s="29">
        <f>IF(A98="","",IF(LEFT(UPPER(TRIM(A98)),1)="V","Drogaria Venancio","Cristal"))</f>
        <v/>
      </c>
      <c r="F98" s="29">
        <f>IF(A98="","",IF(LEFT(UPPER(TRIM(A98)),1)="V","",TRIM(SUBSTITUTE(IFERROR(TRIM(TEXTBEFORE(A98,"—")),TRIM(A98)),"(Cristal)",""))))</f>
        <v/>
      </c>
      <c r="G98" s="29">
        <f>IF(A98="","",IFERROR(TRIM(TEXTBEFORE(TEXTAFTER(A98,"—"),"—")),""))</f>
        <v/>
      </c>
      <c r="H98" s="29">
        <f>IF(A98="","",IFERROR(TRIM(TEXTAFTER(A98,"—",2)),""))</f>
        <v/>
      </c>
    </row>
    <row r="99">
      <c r="A99" s="27" t="n"/>
      <c r="B99" s="38" t="n"/>
      <c r="C99" s="27" t="n"/>
      <c r="D99" s="27">
        <f>IF(A99="","",IF(LEFT(UPPER(TRIM(A99)),1)="V",IFERROR(TEXTBEFORE(TRIM(A99),"—"),TRIM(A99)),""))</f>
        <v/>
      </c>
      <c r="E99" s="27">
        <f>IF(A99="","",IF(LEFT(UPPER(TRIM(A99)),1)="V","Drogaria Venancio","Cristal"))</f>
        <v/>
      </c>
      <c r="F99" s="27">
        <f>IF(A99="","",IF(LEFT(UPPER(TRIM(A99)),1)="V","",TRIM(SUBSTITUTE(IFERROR(TRIM(TEXTBEFORE(A99,"—")),TRIM(A99)),"(Cristal)",""))))</f>
        <v/>
      </c>
      <c r="G99" s="27">
        <f>IF(A99="","",IFERROR(TRIM(TEXTBEFORE(TEXTAFTER(A99,"—"),"—")),""))</f>
        <v/>
      </c>
      <c r="H99" s="27">
        <f>IF(A99="","",IFERROR(TRIM(TEXTAFTER(A99,"—",2)),""))</f>
        <v/>
      </c>
    </row>
    <row r="100">
      <c r="A100" s="29" t="n"/>
      <c r="B100" s="39" t="n"/>
      <c r="C100" s="29" t="n"/>
      <c r="D100" s="29">
        <f>IF(A100="","",IF(LEFT(UPPER(TRIM(A100)),1)="V",IFERROR(TEXTBEFORE(TRIM(A100),"—"),TRIM(A100)),""))</f>
        <v/>
      </c>
      <c r="E100" s="29">
        <f>IF(A100="","",IF(LEFT(UPPER(TRIM(A100)),1)="V","Drogaria Venancio","Cristal"))</f>
        <v/>
      </c>
      <c r="F100" s="29">
        <f>IF(A100="","",IF(LEFT(UPPER(TRIM(A100)),1)="V","",TRIM(SUBSTITUTE(IFERROR(TRIM(TEXTBEFORE(A100,"—")),TRIM(A100)),"(Cristal)",""))))</f>
        <v/>
      </c>
      <c r="G100" s="29">
        <f>IF(A100="","",IFERROR(TRIM(TEXTBEFORE(TEXTAFTER(A100,"—"),"—")),""))</f>
        <v/>
      </c>
      <c r="H100" s="29">
        <f>IF(A100="","",IFERROR(TRIM(TEXTAFTER(A100,"—",2)),""))</f>
        <v/>
      </c>
    </row>
    <row r="101">
      <c r="A101" s="27" t="n"/>
      <c r="B101" s="38" t="n"/>
      <c r="C101" s="27" t="n"/>
      <c r="D101" s="27">
        <f>IF(A101="","",IF(LEFT(UPPER(TRIM(A101)),1)="V",IFERROR(TEXTBEFORE(TRIM(A101),"—"),TRIM(A101)),""))</f>
        <v/>
      </c>
      <c r="E101" s="27">
        <f>IF(A101="","",IF(LEFT(UPPER(TRIM(A101)),1)="V","Drogaria Venancio","Cristal"))</f>
        <v/>
      </c>
      <c r="F101" s="27">
        <f>IF(A101="","",IF(LEFT(UPPER(TRIM(A101)),1)="V","",TRIM(SUBSTITUTE(IFERROR(TRIM(TEXTBEFORE(A101,"—")),TRIM(A101)),"(Cristal)",""))))</f>
        <v/>
      </c>
      <c r="G101" s="27">
        <f>IF(A101="","",IFERROR(TRIM(TEXTBEFORE(TEXTAFTER(A101,"—"),"—")),""))</f>
        <v/>
      </c>
      <c r="H101" s="27">
        <f>IF(A101="","",IFERROR(TRIM(TEXTAFTER(A101,"—",2)),""))</f>
        <v/>
      </c>
    </row>
    <row r="102">
      <c r="A102" s="29" t="n"/>
      <c r="B102" s="39" t="n"/>
      <c r="C102" s="29" t="n"/>
      <c r="D102" s="29">
        <f>IF(A102="","",IF(LEFT(UPPER(TRIM(A102)),1)="V",IFERROR(TEXTBEFORE(TRIM(A102),"—"),TRIM(A102)),""))</f>
        <v/>
      </c>
      <c r="E102" s="29">
        <f>IF(A102="","",IF(LEFT(UPPER(TRIM(A102)),1)="V","Drogaria Venancio","Cristal"))</f>
        <v/>
      </c>
      <c r="F102" s="29">
        <f>IF(A102="","",IF(LEFT(UPPER(TRIM(A102)),1)="V","",TRIM(SUBSTITUTE(IFERROR(TRIM(TEXTBEFORE(A102,"—")),TRIM(A102)),"(Cristal)",""))))</f>
        <v/>
      </c>
      <c r="G102" s="29">
        <f>IF(A102="","",IFERROR(TRIM(TEXTBEFORE(TEXTAFTER(A102,"—"),"—")),""))</f>
        <v/>
      </c>
      <c r="H102" s="29">
        <f>IF(A102="","",IFERROR(TRIM(TEXTAFTER(A102,"—",2)),""))</f>
        <v/>
      </c>
    </row>
    <row r="103">
      <c r="A103" s="27" t="n"/>
      <c r="B103" s="38" t="n"/>
      <c r="C103" s="27" t="n"/>
      <c r="D103" s="27">
        <f>IF(A103="","",IF(LEFT(UPPER(TRIM(A103)),1)="V",IFERROR(TEXTBEFORE(TRIM(A103),"—"),TRIM(A103)),""))</f>
        <v/>
      </c>
      <c r="E103" s="27">
        <f>IF(A103="","",IF(LEFT(UPPER(TRIM(A103)),1)="V","Drogaria Venancio","Cristal"))</f>
        <v/>
      </c>
      <c r="F103" s="27">
        <f>IF(A103="","",IF(LEFT(UPPER(TRIM(A103)),1)="V","",TRIM(SUBSTITUTE(IFERROR(TRIM(TEXTBEFORE(A103,"—")),TRIM(A103)),"(Cristal)",""))))</f>
        <v/>
      </c>
      <c r="G103" s="27">
        <f>IF(A103="","",IFERROR(TRIM(TEXTBEFORE(TEXTAFTER(A103,"—"),"—")),""))</f>
        <v/>
      </c>
      <c r="H103" s="27">
        <f>IF(A103="","",IFERROR(TRIM(TEXTAFTER(A103,"—",2)),""))</f>
        <v/>
      </c>
    </row>
    <row r="104">
      <c r="A104" s="29" t="n"/>
      <c r="B104" s="39" t="n"/>
      <c r="C104" s="29" t="n"/>
      <c r="D104" s="29">
        <f>IF(A104="","",IF(LEFT(UPPER(TRIM(A104)),1)="V",IFERROR(TEXTBEFORE(TRIM(A104),"—"),TRIM(A104)),""))</f>
        <v/>
      </c>
      <c r="E104" s="29">
        <f>IF(A104="","",IF(LEFT(UPPER(TRIM(A104)),1)="V","Drogaria Venancio","Cristal"))</f>
        <v/>
      </c>
      <c r="F104" s="29">
        <f>IF(A104="","",IF(LEFT(UPPER(TRIM(A104)),1)="V","",TRIM(SUBSTITUTE(IFERROR(TRIM(TEXTBEFORE(A104,"—")),TRIM(A104)),"(Cristal)",""))))</f>
        <v/>
      </c>
      <c r="G104" s="29">
        <f>IF(A104="","",IFERROR(TRIM(TEXTBEFORE(TEXTAFTER(A104,"—"),"—")),""))</f>
        <v/>
      </c>
      <c r="H104" s="29">
        <f>IF(A104="","",IFERROR(TRIM(TEXTAFTER(A104,"—",2)),""))</f>
        <v/>
      </c>
    </row>
    <row r="107">
      <c r="A107" s="31" t="inlineStr">
        <is>
          <t>Como usar</t>
        </is>
      </c>
    </row>
    <row r="108">
      <c r="A108" s="32" t="inlineStr">
        <is>
          <t>1. Cole várias linhas de lojas em A5:A104.</t>
        </is>
      </c>
    </row>
    <row r="109">
      <c r="A109" s="32" t="inlineStr">
        <is>
          <t>2. Se quiser, informe Data e Região nas colunas B e C.</t>
        </is>
      </c>
    </row>
    <row r="110">
      <c r="A110" s="32" t="inlineStr">
        <is>
          <t>3. As colunas D:H identificam automaticamente código, rede, unidade, endereço e bairro.</t>
        </is>
      </c>
    </row>
    <row r="111">
      <c r="A111" s="32" t="inlineStr">
        <is>
          <t>4. Depois, copie os dados estruturados para a aba Visitas (ou use a tabela principal para cadastro definitivo).</t>
        </is>
      </c>
    </row>
    <row r="112">
      <c r="A112" s="32" t="inlineStr">
        <is>
          <t>5. Linhas iniciadas por V são classificadas como Drogaria Venancio; linhas sem V são tratadas como Cristal.</t>
        </is>
      </c>
    </row>
  </sheetData>
  <autoFilter ref="A4:H104"/>
  <mergeCells count="7">
    <mergeCell ref="A109:H109"/>
    <mergeCell ref="A2:H2"/>
    <mergeCell ref="A112:H112"/>
    <mergeCell ref="A108:H108"/>
    <mergeCell ref="A1:H1"/>
    <mergeCell ref="A110:H110"/>
    <mergeCell ref="A111:H111"/>
  </mergeCells>
  <dataValidations count="1">
    <dataValidation sqref="C5:C104" showDropDown="0" showInputMessage="0" showErrorMessage="0" allowBlank="1" type="list">
      <formula1>"Zona Norte,Zona Sul,Centro / Zona Sul,Centro,Oeste"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E9E9E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Listas de validação</t>
        </is>
      </c>
    </row>
    <row r="2">
      <c r="A2" t="inlineStr">
        <is>
          <t>Status</t>
        </is>
      </c>
      <c r="C2" t="inlineStr">
        <is>
          <t>Redes</t>
        </is>
      </c>
      <c r="E2" t="inlineStr">
        <is>
          <t>Regiões</t>
        </is>
      </c>
    </row>
    <row r="3">
      <c r="A3" t="inlineStr">
        <is>
          <t>Pendente</t>
        </is>
      </c>
      <c r="C3" t="inlineStr">
        <is>
          <t>Drogaria Venancio</t>
        </is>
      </c>
      <c r="E3" t="inlineStr">
        <is>
          <t>Zona Norte</t>
        </is>
      </c>
    </row>
    <row r="4">
      <c r="A4" t="inlineStr">
        <is>
          <t>Em andamento</t>
        </is>
      </c>
      <c r="C4" t="inlineStr">
        <is>
          <t>Cristal</t>
        </is>
      </c>
      <c r="E4" t="inlineStr">
        <is>
          <t>Zona Sul</t>
        </is>
      </c>
    </row>
    <row r="5">
      <c r="A5" t="inlineStr">
        <is>
          <t>Concluído</t>
        </is>
      </c>
      <c r="E5" t="inlineStr">
        <is>
          <t>Centro / Zona Sul</t>
        </is>
      </c>
    </row>
    <row r="6">
      <c r="A6" t="inlineStr">
        <is>
          <t>Não realizado</t>
        </is>
      </c>
      <c r="E6" t="inlineStr">
        <is>
          <t>Centro</t>
        </is>
      </c>
    </row>
    <row r="7">
      <c r="A7" t="inlineStr">
        <is>
          <t>Reagendado</t>
        </is>
      </c>
      <c r="E7" t="inlineStr">
        <is>
          <t>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Controle Profissional de Visitas</dc:title>
  <dc:description xmlns:dc="http://purl.org/dc/elements/1.1/">Planilha escalável com cadastro rápido, dashboard, filtros, status e links Google Maps.</dc:description>
  <dc:subject xmlns:dc="http://purl.org/dc/elements/1.1/">Controle diário de visitas a lojas, farmácias e endereços</dc:subject>
  <dcterms:created xmlns:dcterms="http://purl.org/dc/terms/" xmlns:xsi="http://www.w3.org/2001/XMLSchema-instance" xsi:type="dcterms:W3CDTF">2026-10-07T02:36:15Z</dcterms:created>
  <dcterms:modified xmlns:dcterms="http://purl.org/dc/terms/" xmlns:xsi="http://www.w3.org/2001/XMLSchema-instance" xsi:type="dcterms:W3CDTF">2026-10-07T03:08:54Z</dcterms:modified>
</cp:coreProperties>
</file>